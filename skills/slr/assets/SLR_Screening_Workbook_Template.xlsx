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tocol" sheetId="2" state="visible" r:id="rId4"/>
    <sheet name="Search_Log" sheetId="3" state="visible" r:id="rId5"/>
    <sheet name="Records" sheetId="4" state="visible" r:id="rId6"/>
    <sheet name="TA_Screening" sheetId="5" state="visible" r:id="rId7"/>
    <sheet name="FT_Screening" sheetId="6" state="visible" r:id="rId8"/>
    <sheet name="Reliability" sheetId="7" state="visible" r:id="rId9"/>
    <sheet name="PRISMA_Counts" sheetId="8" state="visible" r:id="rId10"/>
    <sheet name="PRISMA_Flow" sheetId="9" state="visible" r:id="rId11"/>
    <sheet name="Evidence_Table" sheetId="10" state="visible" r:id="rId12"/>
    <sheet name="Concept_Matrix" sheetId="11" state="visible" r:id="rId13"/>
    <sheet name="Logbook" sheetId="12" state="visible" r:id="rId14"/>
    <sheet name="List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<sst xmlns="http://schemas.openxmlformats.org/spreadsheetml/2006/main" count="341" uniqueCount="278">
  <si>
    <t xml:space="preserve">SLR screening workbook (Wolfswinkel 5 stages + PRISMA 2020)</t>
  </si>
  <si>
    <t xml:space="preserve">Template for the `slr` skill. Yellow = you type. Green = formula, do not overwrite. Grey row = example, delete before use.</t>
  </si>
  <si>
    <t xml:space="preserve">Sheet</t>
  </si>
  <si>
    <t xml:space="preserve">Purpose</t>
  </si>
  <si>
    <t xml:space="preserve">Stage (Wolfswinkel / PRISMA)</t>
  </si>
  <si>
    <t xml:space="preserve">Protocol</t>
  </si>
  <si>
    <t xml:space="preserve">RQ, sub-RQs, inclusion/exclusion criteria with justification, sources</t>
  </si>
  <si>
    <t xml:space="preserve">1 Define (steps 1.1 to 1.4)</t>
  </si>
  <si>
    <t xml:space="preserve">Search_Log</t>
  </si>
  <si>
    <t xml:space="preserve">One row per database search: date, exact string, filters, hits, filter-removed records</t>
  </si>
  <si>
    <t xml:space="preserve">2 Search / PRISMA Identification</t>
  </si>
  <si>
    <t xml:space="preserve">Records</t>
  </si>
  <si>
    <t xml:space="preserve">Every exported record after import; duplicate flag; document-level filter check</t>
  </si>
  <si>
    <t xml:space="preserve">3 Select / PRISMA Identification</t>
  </si>
  <si>
    <t xml:space="preserve">TA_Screening</t>
  </si>
  <si>
    <t xml:space="preserve">Title, abstract, keyword screening by two reviewers; agreement and final decision</t>
  </si>
  <si>
    <t xml:space="preserve">3 Select / PRISMA Screening</t>
  </si>
  <si>
    <t xml:space="preserve">FT_Screening</t>
  </si>
  <si>
    <t xml:space="preserve">Full-text eligibility by two reviewers; coded exclusion reasons</t>
  </si>
  <si>
    <t xml:space="preserve">3 Select / PRISMA Eligibility</t>
  </si>
  <si>
    <t xml:space="preserve">Reliability</t>
  </si>
  <si>
    <t xml:space="preserve">Percent agreement (Wolfswinkel minimum 90%) and Cohen's kappa for both rounds</t>
  </si>
  <si>
    <t xml:space="preserve">3 Select (inter-coder check)</t>
  </si>
  <si>
    <t xml:space="preserve">PRISMA_Counts</t>
  </si>
  <si>
    <t xml:space="preserve">All flow numbers by formula, plus arithmetic cross-checks</t>
  </si>
  <si>
    <t xml:space="preserve">PRISMA 2020 flow</t>
  </si>
  <si>
    <t xml:space="preserve">PRISMA_Flow</t>
  </si>
  <si>
    <t xml:space="preserve">Flow diagram drawn in cells and linked to PRISMA_Counts</t>
  </si>
  <si>
    <t xml:space="preserve">Evidence_Table</t>
  </si>
  <si>
    <t xml:space="preserve">One row per included study (Authors, Title, Journal, Summary, Details, Why it matters for the RQ)</t>
  </si>
  <si>
    <t xml:space="preserve">4 Analyze (excerpting)</t>
  </si>
  <si>
    <t xml:space="preserve">Concept_Matrix</t>
  </si>
  <si>
    <t xml:space="preserve">Papers x concepts (Wolfswinkel Tables 3 and 4); merge and split concepts over time</t>
  </si>
  <si>
    <t xml:space="preserve">4 Analyze (open, axial, selective coding)</t>
  </si>
  <si>
    <t xml:space="preserve">Logbook</t>
  </si>
  <si>
    <t xml:space="preserve">Dated decisions and criteria changes (process diary)</t>
  </si>
  <si>
    <t xml:space="preserve">All stages</t>
  </si>
  <si>
    <t xml:space="preserve">Lists</t>
  </si>
  <si>
    <t xml:space="preserve">Decision codes and exclusion-reason codes used by drop-downs</t>
  </si>
  <si>
    <t xml:space="preserve">Support</t>
  </si>
  <si>
    <t xml:space="preserve">Screening codes: Include / Exclude / Maybe. Maybe counts as a disagreement-risk and must be resolved before the final decision.</t>
  </si>
  <si>
    <t xml:space="preserve">Final decision rule: if both reviewers agree, that decision stands. If not, discuss; if still unresolved, a third person decides. Record it in the Final column.</t>
  </si>
  <si>
    <t xml:space="preserve">Rows 5 onward are counted. The grey example row in row 4 of each screening sheet is NOT counted and can be deleted.</t>
  </si>
  <si>
    <t xml:space="preserve">Protocol: define (Wolfswinkel stage 1)</t>
  </si>
  <si>
    <t xml:space="preserve">Research question</t>
  </si>
  <si>
    <t xml:space="preserve">Sub-questions</t>
  </si>
  <si>
    <t xml:space="preserve">Review type / method</t>
  </si>
  <si>
    <t xml:space="preserve">Grounded-theory literature review (Wolfswinkel et al., 2013); reporting per PRISMA 2020 (Page et al., 2021)</t>
  </si>
  <si>
    <t xml:space="preserve">Team and roles</t>
  </si>
  <si>
    <t xml:space="preserve">Reviewer A: ...   Reviewer B: ...   Tie-breaker: ...</t>
  </si>
  <si>
    <t xml:space="preserve">Criterion</t>
  </si>
  <si>
    <t xml:space="preserve">Decision</t>
  </si>
  <si>
    <t xml:space="preserve">Justification (one sentence)</t>
  </si>
  <si>
    <t xml:space="preserve">Applied where (DB filter / TA / FT)</t>
  </si>
  <si>
    <t xml:space="preserve">Step (Table 1)</t>
  </si>
  <si>
    <t xml:space="preserve">Document type</t>
  </si>
  <si>
    <t xml:space="preserve">Journal articles only</t>
  </si>
  <si>
    <t xml:space="preserve">Peer-reviewed, legitimised corpus</t>
  </si>
  <si>
    <t xml:space="preserve">DB filter</t>
  </si>
  <si>
    <t xml:space="preserve">1.1</t>
  </si>
  <si>
    <t xml:space="preserve">Empirical</t>
  </si>
  <si>
    <t xml:space="preserve">Empirical studies only</t>
  </si>
  <si>
    <t xml:space="preserve">Need evidence, not opinion</t>
  </si>
  <si>
    <t xml:space="preserve">TA + FT</t>
  </si>
  <si>
    <t xml:space="preserve">Language</t>
  </si>
  <si>
    <t xml:space="preserve">English</t>
  </si>
  <si>
    <t xml:space="preserve">All reviewers can read and check</t>
  </si>
  <si>
    <t xml:space="preserve">Field</t>
  </si>
  <si>
    <t xml:space="preserve">e.g. Business, Management, Social Sciences</t>
  </si>
  <si>
    <t xml:space="preserve">Where the construct is studied</t>
  </si>
  <si>
    <t xml:space="preserve">1.2</t>
  </si>
  <si>
    <t xml:space="preserve">Time window</t>
  </si>
  <si>
    <t xml:space="preserve">e.g. 2019 to 2026</t>
  </si>
  <si>
    <t xml:space="preserve">Relevance to current context</t>
  </si>
  <si>
    <t xml:space="preserve">Quality proxy</t>
  </si>
  <si>
    <t xml:space="preserve">e.g. impact factor above 1 (state if NOT applied)</t>
  </si>
  <si>
    <t xml:space="preserve">Screen for outlet quality; report as limitation</t>
  </si>
  <si>
    <t xml:space="preserve">DB filter / TA</t>
  </si>
  <si>
    <t xml:space="preserve">Topic-specific</t>
  </si>
  <si>
    <t xml:space="preserve">Operational definitions of key constructs</t>
  </si>
  <si>
    <t xml:space="preserve">Decide borderline terms in advance</t>
  </si>
  <si>
    <t xml:space="preserve">Sources (step 1.3) and search terms (step 1.4) are recorded in Search_Log.</t>
  </si>
  <si>
    <t xml:space="preserve">Search log (stage 2). One row per database and run</t>
  </si>
  <si>
    <t xml:space="preserve">Search ID</t>
  </si>
  <si>
    <t xml:space="preserve">Database / interface</t>
  </si>
  <si>
    <t xml:space="preserve">Date run</t>
  </si>
  <si>
    <t xml:space="preserve">Exact search string (verbatim)</t>
  </si>
  <si>
    <t xml:space="preserve">Fields searched</t>
  </si>
  <si>
    <t xml:space="preserve">Hits before filters</t>
  </si>
  <si>
    <t xml:space="preserve">Removed by filters (doc type, language, years, subject)</t>
  </si>
  <si>
    <t xml:space="preserve">Hits after filters</t>
  </si>
  <si>
    <t xml:space="preserve">Filters applied</t>
  </si>
  <si>
    <t xml:space="preserve">Run by</t>
  </si>
  <si>
    <t xml:space="preserve">Example row 4 is not counted (sums start at row 5).</t>
  </si>
  <si>
    <t xml:space="preserve">EX-S1</t>
  </si>
  <si>
    <t xml:space="preserve">Scopus (example)</t>
  </si>
  <si>
    <t xml:space="preserve">2026-01-07</t>
  </si>
  <si>
    <t xml:space="preserve">TITLE-ABS-KEY( gender OR sex ) AND TITLE-ABS-KEY( leader* ) AND TITLE-ABS-KEY( trust )</t>
  </si>
  <si>
    <t xml:space="preserve">Title, abstract, keywords</t>
  </si>
  <si>
    <t xml:space="preserve">English; article; 2019 to 2026</t>
  </si>
  <si>
    <t xml:space="preserve">AB</t>
  </si>
  <si>
    <t xml:space="preserve">Other-methods records (citation searching) go in PRISMA_Counts.</t>
  </si>
  <si>
    <t xml:space="preserve">Records: everything exported from the databases (after import)</t>
  </si>
  <si>
    <t xml:space="preserve">ID</t>
  </si>
  <si>
    <t xml:space="preserve">Source DB</t>
  </si>
  <si>
    <t xml:space="preserve">Authors</t>
  </si>
  <si>
    <t xml:space="preserve">Year</t>
  </si>
  <si>
    <t xml:space="preserve">Title</t>
  </si>
  <si>
    <t xml:space="preserve">Journal</t>
  </si>
  <si>
    <t xml:space="preserve">DOI</t>
  </si>
  <si>
    <t xml:space="preserve">Impact factor / quartile</t>
  </si>
  <si>
    <t xml:space="preserve">Doc type</t>
  </si>
  <si>
    <t xml:space="preserve">Abstract</t>
  </si>
  <si>
    <t xml:space="preserve">Duplicate? (Y/N)</t>
  </si>
  <si>
    <t xml:space="preserve">Passes DB-level criteria? (Y/N)</t>
  </si>
  <si>
    <t xml:space="preserve">Keep author strings in one format (Surname, I.; Surname, I.). Add a Year and Journal column: the shared sheet lacked both.</t>
  </si>
  <si>
    <t xml:space="preserve">EX-1</t>
  </si>
  <si>
    <t xml:space="preserve">Scopus</t>
  </si>
  <si>
    <t xml:space="preserve">Belasen, A.T.; Belasen, A.R.</t>
  </si>
  <si>
    <t xml:space="preserve">Signaling trust during disruptions</t>
  </si>
  <si>
    <t xml:space="preserve">(journal)</t>
  </si>
  <si>
    <t xml:space="preserve">Article</t>
  </si>
  <si>
    <t xml:space="preserve">(abstract text)</t>
  </si>
  <si>
    <t xml:space="preserve">N</t>
  </si>
  <si>
    <t xml:space="preserve">Y</t>
  </si>
  <si>
    <t xml:space="preserve">Title / abstract / keyword screening (stage 3, PRISMA 'Screening')</t>
  </si>
  <si>
    <t xml:space="preserve">Records that passed DB-level criteria and are not duplicates. Reviewers decide independently BEFORE looking at each other's columns.</t>
  </si>
  <si>
    <t xml:space="preserve">Reviewer A decision</t>
  </si>
  <si>
    <t xml:space="preserve">Reviewer A reason (code)</t>
  </si>
  <si>
    <t xml:space="preserve">Reviewer B decision</t>
  </si>
  <si>
    <t xml:space="preserve">Reviewer B reason (code)</t>
  </si>
  <si>
    <t xml:space="preserve">Agree?</t>
  </si>
  <si>
    <t xml:space="preserve">Final decision</t>
  </si>
  <si>
    <t xml:space="preserve">Final reason (code)</t>
  </si>
  <si>
    <t xml:space="preserve">Resolved by</t>
  </si>
  <si>
    <t xml:space="preserve">Notes / reason for selection</t>
  </si>
  <si>
    <t xml:space="preserve">Include</t>
  </si>
  <si>
    <t xml:space="preserve">Leader gender and trust both present</t>
  </si>
  <si>
    <t xml:space="preserve">Full-text eligibility (stage 3, PRISMA 'Eligibility'). Careful reading</t>
  </si>
  <si>
    <t xml:space="preserve">One row per report sought for retrieval: all TA final = Include or Maybe-resolved-to-Include, plus records from citation searching.</t>
  </si>
  <si>
    <t xml:space="preserve">Source (Database / Backward / Forward)</t>
  </si>
  <si>
    <t xml:space="preserve">Retrieved? (Y/N)</t>
  </si>
  <si>
    <t xml:space="preserve">Exclusion reason (code)</t>
  </si>
  <si>
    <t xml:space="preserve">Database</t>
  </si>
  <si>
    <t xml:space="preserve">Meets all criteria</t>
  </si>
  <si>
    <t xml:space="preserve">Inter-reviewer reliability</t>
  </si>
  <si>
    <t xml:space="preserve">Wolfswinkel et al. (2013): at least 90% overlap between two reviewers on article selection. Kappa is reported as a complement.</t>
  </si>
  <si>
    <t xml:space="preserve">Metric</t>
  </si>
  <si>
    <t xml:space="preserve">Title/abstract round</t>
  </si>
  <si>
    <t xml:space="preserve">Full-text round</t>
  </si>
  <si>
    <t xml:space="preserve">Rule / note</t>
  </si>
  <si>
    <t xml:space="preserve">Records with two decisions (N)</t>
  </si>
  <si>
    <t xml:space="preserve">Both reviewers must have decided</t>
  </si>
  <si>
    <t xml:space="preserve">Agreements</t>
  </si>
  <si>
    <t xml:space="preserve">Disagreements</t>
  </si>
  <si>
    <t xml:space="preserve">Resolve by discussion, then third reviewer</t>
  </si>
  <si>
    <t xml:space="preserve">Percent agreement</t>
  </si>
  <si>
    <t xml:space="preserve">Target: 0.90 or higher</t>
  </si>
  <si>
    <t xml:space="preserve">Meets 90% standard?</t>
  </si>
  <si>
    <t xml:space="preserve">Wolfswinkel et al. (2013), Select stage</t>
  </si>
  <si>
    <t xml:space="preserve">Cohen's kappa (3 categories: Include, Exclude, Maybe)</t>
  </si>
  <si>
    <t xml:space="preserve">Expected chance agreement (Pe)</t>
  </si>
  <si>
    <t xml:space="preserve">Kappa = (Po - Pe) / (1 - Pe)</t>
  </si>
  <si>
    <t xml:space="preserve">Rough guide: 0.61 to 0.80 substantial, above 0.80 almost perfect (Landis &amp; Koch, 1977)</t>
  </si>
  <si>
    <t xml:space="preserve">PRISMA 2020 counts (all by formula) and cross-checks</t>
  </si>
  <si>
    <t xml:space="preserve">Yellow cells are the only manual inputs. Everything else reads the other sheets.</t>
  </si>
  <si>
    <t xml:space="preserve">Item</t>
  </si>
  <si>
    <t xml:space="preserve">Count</t>
  </si>
  <si>
    <t xml:space="preserve">Source / formula logic</t>
  </si>
  <si>
    <t xml:space="preserve">Check</t>
  </si>
  <si>
    <t xml:space="preserve">Records identified from databases and registers</t>
  </si>
  <si>
    <t xml:space="preserve">Sum of hits before filters in Search_Log</t>
  </si>
  <si>
    <t xml:space="preserve">  of which: number of databases searched</t>
  </si>
  <si>
    <t xml:space="preserve">Rows in Search_Log</t>
  </si>
  <si>
    <t xml:space="preserve">Reports from other methods sought for retrieval (backward/forward citation searching)</t>
  </si>
  <si>
    <t xml:space="preserve">MANUAL: citation-searched papers that pass your quick relevance look; also list them in FT_Screening</t>
  </si>
  <si>
    <t xml:space="preserve">Records removed before screening: duplicates</t>
  </si>
  <si>
    <t xml:space="preserve">Records sheet, Duplicate = Y</t>
  </si>
  <si>
    <t xml:space="preserve">Records removed before screening: marked ineligible by DB filters</t>
  </si>
  <si>
    <t xml:space="preserve">Filters applied at search (Search_Log col G)</t>
  </si>
  <si>
    <t xml:space="preserve">Records removed before screening: other reasons</t>
  </si>
  <si>
    <t xml:space="preserve">MANUAL (e.g. retracted, automation tool); explain in Logbook</t>
  </si>
  <si>
    <t xml:space="preserve">Records screened (title/abstract)</t>
  </si>
  <si>
    <t xml:space="preserve">Rows in TA_Screening</t>
  </si>
  <si>
    <t xml:space="preserve">Records excluded at title/abstract</t>
  </si>
  <si>
    <t xml:space="preserve">TA final decision = Exclude</t>
  </si>
  <si>
    <t xml:space="preserve">Reports sought for retrieval</t>
  </si>
  <si>
    <t xml:space="preserve">Rows in FT_Screening</t>
  </si>
  <si>
    <t xml:space="preserve">Reports not retrieved</t>
  </si>
  <si>
    <t xml:space="preserve">Retrieved = N</t>
  </si>
  <si>
    <t xml:space="preserve">Reports assessed for eligibility</t>
  </si>
  <si>
    <t xml:space="preserve">Sought minus not retrieved</t>
  </si>
  <si>
    <t xml:space="preserve">Reports excluded at full text (total)</t>
  </si>
  <si>
    <t xml:space="preserve">FT final decision = Exclude</t>
  </si>
  <si>
    <t xml:space="preserve">Studies included in review</t>
  </si>
  <si>
    <t xml:space="preserve">FT final decision = Include</t>
  </si>
  <si>
    <t xml:space="preserve">Full-text exclusion reasons (PRISMA requires the reason and count for each)</t>
  </si>
  <si>
    <t xml:space="preserve">Reason code</t>
  </si>
  <si>
    <t xml:space="preserve">Description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</si>
  <si>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</si>
  <si>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</si>
  <si>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</si>
  <si>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</si>
  <si>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</si>
  <si>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</si>
  <si>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</si>
  <si>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</si>
  <si>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</si>
  <si>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</si>
  <si>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</si>
  <si>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Global checks</t>
  </si>
  <si>
    <t xml:space="preserve">Every excluded full-text record has a reason code</t>
  </si>
  <si>
    <t xml:space="preserve">Title/abstract disagreements all resolved (Final decision filled)</t>
  </si>
  <si>
    <t xml:space="preserve">Full-text disagreements all resolved</t>
  </si>
  <si>
    <t xml:space="preserve">Agreement at least 90% in both rounds</t>
  </si>
  <si>
    <t xml:space="preserve">PRISMA 2020 flow diagram (linked to PRISMA_Counts)</t>
  </si>
  <si>
    <t xml:space="preserve">Identification</t>
  </si>
  <si>
    <t xml:space="preserve">Screening</t>
  </si>
  <si>
    <t xml:space="preserve">Included</t>
  </si>
  <si>
    <t xml:space="preserve">Copy this block into Word/PowerPoint as a picture, or redraw it as a figure from the counts (Page et al., 2021 template).</t>
  </si>
  <si>
    <t xml:space="preserve">Evidence table: one row per included study (stage 4)</t>
  </si>
  <si>
    <t xml:space="preserve">Summary (2 to 4 sentences)</t>
  </si>
  <si>
    <t xml:space="preserve">Context / country</t>
  </si>
  <si>
    <t xml:space="preserve">Design (qual / quant / mixed)</t>
  </si>
  <si>
    <t xml:space="preserve">Key results</t>
  </si>
  <si>
    <t xml:space="preserve">Agrees with / differs from other studies</t>
  </si>
  <si>
    <t xml:space="preserve">Limitations / biases</t>
  </si>
  <si>
    <t xml:space="preserve">Why it matters for the RQ</t>
  </si>
  <si>
    <t xml:space="preserve">(summary)</t>
  </si>
  <si>
    <t xml:space="preserve">USA</t>
  </si>
  <si>
    <t xml:space="preserve">Quantitative</t>
  </si>
  <si>
    <t xml:space="preserve">(results)</t>
  </si>
  <si>
    <t xml:space="preserve">Consistent with role congruity findings</t>
  </si>
  <si>
    <t xml:space="preserve">(limitations)</t>
  </si>
  <si>
    <t xml:space="preserve">Shows different trust signals for male and female leaders</t>
  </si>
  <si>
    <t xml:space="preserve">Concept matrix (Wolfswinkel Tables 3 and 4): mark X where a paper contributes an excerpt for a concept</t>
  </si>
  <si>
    <t xml:space="preserve">Merge, split and relabel concepts as coding proceeds and record each change in the Logbook. Columns after the papers give counts.</t>
  </si>
  <si>
    <t xml:space="preserve">Category A</t>
  </si>
  <si>
    <t xml:space="preserve">Category B</t>
  </si>
  <si>
    <t xml:space="preserve">Category C</t>
  </si>
  <si>
    <t xml:space="preserve">Paper ID</t>
  </si>
  <si>
    <t xml:space="preserve">Authors (year)</t>
  </si>
  <si>
    <t xml:space="preserve">Concept 1 (open code)</t>
  </si>
  <si>
    <t xml:space="preserve">Concept 2 (open code)</t>
  </si>
  <si>
    <t xml:space="preserve">Concept 3 (open code)</t>
  </si>
  <si>
    <t xml:space="preserve">Concept 4 (open code)</t>
  </si>
  <si>
    <t xml:space="preserve">Concept 5 (open code)</t>
  </si>
  <si>
    <t xml:space="preserve">Concept 6 (open code)</t>
  </si>
  <si>
    <t xml:space="preserve">Concepts per paper</t>
  </si>
  <si>
    <t xml:space="preserve">Belasen &amp; Belasen (2024) [example]</t>
  </si>
  <si>
    <t xml:space="preserve">X</t>
  </si>
  <si>
    <t xml:space="preserve">Papers per concept</t>
  </si>
  <si>
    <t xml:space="preserve">Logbook: process diary (Wolfswinkel: write down the reason for every decision)</t>
  </si>
  <si>
    <t xml:space="preserve">Date</t>
  </si>
  <si>
    <t xml:space="preserve">Stage / step (Table 1)</t>
  </si>
  <si>
    <t xml:space="preserve">Decision or change</t>
  </si>
  <si>
    <t xml:space="preserve">Reason</t>
  </si>
  <si>
    <t xml:space="preserve">Consequence (what must be redone)</t>
  </si>
  <si>
    <t xml:space="preserve">By</t>
  </si>
  <si>
    <t xml:space="preserve">2 Search (2.1)</t>
  </si>
  <si>
    <t xml:space="preserve">Narrowed RQ from 'gender differences' to 'leader gender and follower trust'</t>
  </si>
  <si>
    <t xml:space="preserve">First run returned too many off-topic hits</t>
  </si>
  <si>
    <t xml:space="preserve">Re-run all databases; re-screen</t>
  </si>
  <si>
    <t xml:space="preserve">Exclusion reason code</t>
  </si>
  <si>
    <t xml:space="preserve">Reason description (edit to fit your criteria)</t>
  </si>
  <si>
    <t xml:space="preserve">Not empirical (conceptual, opinion, editorial)</t>
  </si>
  <si>
    <t xml:space="preserve">Exclude</t>
  </si>
  <si>
    <t xml:space="preserve">Wrong document type (book chapter, conference paper, thesis, review)</t>
  </si>
  <si>
    <t xml:space="preserve">Maybe</t>
  </si>
  <si>
    <t xml:space="preserve">Not English</t>
  </si>
  <si>
    <t xml:space="preserve">Outside time window</t>
  </si>
  <si>
    <t xml:space="preserve">Outside field / subject area</t>
  </si>
  <si>
    <t xml:space="preserve">Off topic: does not address the research question</t>
  </si>
  <si>
    <t xml:space="preserve">Wrong population or actor (e.g. follower gender instead of leader gender)</t>
  </si>
  <si>
    <t xml:space="preserve">Key construct missing (e.g. no gender dimension, no trust outcome)</t>
  </si>
  <si>
    <t xml:space="preserve">Below quality threshold (e.g. impact factor)</t>
  </si>
  <si>
    <t xml:space="preserve">Full text not retrievable</t>
  </si>
  <si>
    <t xml:space="preserve">Other (explain in Notes)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</si>
</sst>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5" t="s">
        <v>23</v>
      </c>
      <c r="B11" s="5" t="s">
        <v>24</v>
      </c>
      <c r="C11" s="5" t="s">
        <v>25</v>
      </c>
    </row>
    <row r="12" customFormat="false" ht="15" hidden="false" customHeight="false" outlineLevel="0" collapsed="false">
      <c r="A12" s="5" t="s">
        <v>26</v>
      </c>
      <c r="B12" s="5" t="s">
        <v>27</v>
      </c>
      <c r="C12" s="5" t="s">
        <v>25</v>
      </c>
    </row>
    <row r="13" customFormat="false" ht="15" hidden="false" customHeight="false" outlineLevel="0" collapsed="false">
      <c r="A13" s="5" t="s">
        <v>28</v>
      </c>
      <c r="B13" s="5" t="s">
        <v>29</v>
      </c>
      <c r="C13" s="5" t="s">
        <v>30</v>
      </c>
    </row>
    <row r="14" customFormat="false" ht="15" hidden="false" customHeight="false" outlineLevel="0" collapsed="false">
      <c r="A14" s="5" t="s">
        <v>31</v>
      </c>
      <c r="B14" s="5" t="s">
        <v>32</v>
      </c>
      <c r="C14" s="5" t="s">
        <v>33</v>
      </c>
    </row>
    <row r="15" customFormat="false" ht="15" hidden="false" customHeight="false" outlineLevel="0" collapsed="false">
      <c r="A15" s="5" t="s">
        <v>34</v>
      </c>
      <c r="B15" s="5" t="s">
        <v>35</v>
      </c>
      <c r="C15" s="5" t="s">
        <v>36</v>
      </c>
    </row>
    <row r="16" customFormat="false" ht="15" hidden="false" customHeight="false" outlineLevel="0" collapsed="false">
      <c r="A16" s="5" t="s">
        <v>37</v>
      </c>
      <c r="B16" s="5" t="s">
        <v>38</v>
      </c>
      <c r="C16" s="5" t="s">
        <v>39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6" t="s">
        <v>40</v>
      </c>
      <c r="B19" s="2"/>
      <c r="C19" s="2"/>
    </row>
    <row r="20" customFormat="false" ht="15" hidden="false" customHeight="false" outlineLevel="0" collapsed="false">
      <c r="A20" s="6" t="s">
        <v>41</v>
      </c>
      <c r="B20" s="2"/>
      <c r="C20" s="2"/>
    </row>
    <row r="21" customFormat="false" ht="15" hidden="false" customHeight="false" outlineLevel="0" collapsed="false">
      <c r="A21" s="6" t="s">
        <v>42</v>
      </c>
      <c r="B21" s="2"/>
      <c r="C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4" min="4" style="0" width="3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43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7" t="s">
        <v>44</v>
      </c>
      <c r="B3" s="8"/>
      <c r="C3" s="2"/>
      <c r="D3" s="2"/>
      <c r="E3" s="2"/>
    </row>
    <row r="4" customFormat="false" ht="15" hidden="false" customHeight="false" outlineLevel="0" collapsed="false">
      <c r="A4" s="7" t="s">
        <v>45</v>
      </c>
      <c r="B4" s="8"/>
      <c r="C4" s="2"/>
      <c r="D4" s="2"/>
      <c r="E4" s="2"/>
    </row>
    <row r="5" customFormat="false" ht="23.85" hidden="false" customHeight="false" outlineLevel="0" collapsed="false">
      <c r="A5" s="7" t="s">
        <v>46</v>
      </c>
      <c r="B5" s="8" t="s">
        <v>47</v>
      </c>
      <c r="C5" s="2"/>
      <c r="D5" s="2"/>
      <c r="E5" s="2"/>
    </row>
    <row r="6" customFormat="false" ht="15" hidden="false" customHeight="false" outlineLevel="0" collapsed="false">
      <c r="A6" s="7" t="s">
        <v>48</v>
      </c>
      <c r="B6" s="8" t="s">
        <v>49</v>
      </c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23.85" hidden="false" customHeight="false" outlineLevel="0" collapsed="false">
      <c r="A8" s="9" t="s">
        <v>50</v>
      </c>
      <c r="B8" s="9" t="s">
        <v>51</v>
      </c>
      <c r="C8" s="9" t="s">
        <v>52</v>
      </c>
      <c r="D8" s="9" t="s">
        <v>53</v>
      </c>
      <c r="E8" s="9" t="s">
        <v>54</v>
      </c>
    </row>
    <row r="9" customFormat="false" ht="15" hidden="false" customHeight="false" outlineLevel="0" collapsed="false">
      <c r="A9" s="10" t="s">
        <v>55</v>
      </c>
      <c r="B9" s="10" t="s">
        <v>56</v>
      </c>
      <c r="C9" s="10" t="s">
        <v>57</v>
      </c>
      <c r="D9" s="10" t="s">
        <v>58</v>
      </c>
      <c r="E9" s="10" t="s">
        <v>59</v>
      </c>
    </row>
    <row r="10" customFormat="false" ht="15" hidden="false" customHeight="false" outlineLevel="0" collapsed="false">
      <c r="A10" s="10" t="s">
        <v>60</v>
      </c>
      <c r="B10" s="10" t="s">
        <v>61</v>
      </c>
      <c r="C10" s="10" t="s">
        <v>62</v>
      </c>
      <c r="D10" s="10" t="s">
        <v>63</v>
      </c>
      <c r="E10" s="10" t="s">
        <v>59</v>
      </c>
    </row>
    <row r="11" customFormat="false" ht="15" hidden="false" customHeight="false" outlineLevel="0" collapsed="false">
      <c r="A11" s="10" t="s">
        <v>64</v>
      </c>
      <c r="B11" s="10" t="s">
        <v>65</v>
      </c>
      <c r="C11" s="10" t="s">
        <v>66</v>
      </c>
      <c r="D11" s="10" t="s">
        <v>58</v>
      </c>
      <c r="E11" s="10" t="s">
        <v>59</v>
      </c>
    </row>
    <row r="12" customFormat="false" ht="15" hidden="false" customHeight="false" outlineLevel="0" collapsed="false">
      <c r="A12" s="10" t="s">
        <v>67</v>
      </c>
      <c r="B12" s="10" t="s">
        <v>68</v>
      </c>
      <c r="C12" s="10" t="s">
        <v>69</v>
      </c>
      <c r="D12" s="10" t="s">
        <v>58</v>
      </c>
      <c r="E12" s="10" t="s">
        <v>70</v>
      </c>
    </row>
    <row r="13" customFormat="false" ht="15" hidden="false" customHeight="false" outlineLevel="0" collapsed="false">
      <c r="A13" s="10" t="s">
        <v>71</v>
      </c>
      <c r="B13" s="10" t="s">
        <v>72</v>
      </c>
      <c r="C13" s="10" t="s">
        <v>73</v>
      </c>
      <c r="D13" s="10" t="s">
        <v>58</v>
      </c>
      <c r="E13" s="10" t="s">
        <v>59</v>
      </c>
    </row>
    <row r="14" customFormat="false" ht="15" hidden="false" customHeight="false" outlineLevel="0" collapsed="false">
      <c r="A14" s="10" t="s">
        <v>74</v>
      </c>
      <c r="B14" s="10" t="s">
        <v>75</v>
      </c>
      <c r="C14" s="10" t="s">
        <v>76</v>
      </c>
      <c r="D14" s="10" t="s">
        <v>77</v>
      </c>
      <c r="E14" s="10" t="s">
        <v>59</v>
      </c>
    </row>
    <row r="15" customFormat="false" ht="15" hidden="false" customHeight="false" outlineLevel="0" collapsed="false">
      <c r="A15" s="10" t="s">
        <v>78</v>
      </c>
      <c r="B15" s="10" t="s">
        <v>79</v>
      </c>
      <c r="C15" s="10" t="s">
        <v>80</v>
      </c>
      <c r="D15" s="10" t="s">
        <v>63</v>
      </c>
      <c r="E15" s="10" t="s">
        <v>59</v>
      </c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11" t="s">
        <v>81</v>
      </c>
      <c r="B17" s="2"/>
      <c r="C17" s="2"/>
      <c r="D17" s="2"/>
      <c r="E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5.05" hidden="false" customHeight="false" outlineLevel="0" collapsed="false">
      <c r="A3" s="9" t="s">
        <v>83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2"/>
      <c r="L3" s="12" t="s">
        <v>93</v>
      </c>
    </row>
    <row r="4" customFormat="false" ht="15" hidden="false" customHeight="false" outlineLevel="0" collapsed="false">
      <c r="A4" s="13" t="s">
        <v>94</v>
      </c>
      <c r="B4" s="13" t="s">
        <v>95</v>
      </c>
      <c r="C4" s="13" t="s">
        <v>96</v>
      </c>
      <c r="D4" s="13" t="s">
        <v>97</v>
      </c>
      <c r="E4" s="13" t="s">
        <v>98</v>
      </c>
      <c r="F4" s="13" t="n">
        <v>291</v>
      </c>
      <c r="G4" s="13" t="n">
        <v>126</v>
      </c>
      <c r="H4" s="14" t="n">
        <f aca="false">IF(F4="","",F4-G4)</f>
        <v>165</v>
      </c>
      <c r="I4" s="13" t="s">
        <v>99</v>
      </c>
      <c r="J4" s="13" t="s">
        <v>100</v>
      </c>
      <c r="K4" s="2"/>
      <c r="L4" s="12" t="s">
        <v>101</v>
      </c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6" t="str">
        <f aca="false">IF(F5="","",F5-G5)</f>
        <v/>
      </c>
      <c r="I5" s="15"/>
      <c r="J5" s="15"/>
      <c r="K5" s="2"/>
      <c r="L5" s="2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6" t="str">
        <f aca="false">IF(F6="","",F6-G6)</f>
        <v/>
      </c>
      <c r="I6" s="15"/>
      <c r="J6" s="15"/>
      <c r="K6" s="2"/>
      <c r="L6" s="2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6" t="str">
        <f aca="false">IF(F7="","",F7-G7)</f>
        <v/>
      </c>
      <c r="I7" s="15"/>
      <c r="J7" s="15"/>
      <c r="K7" s="2"/>
      <c r="L7" s="2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6" t="str">
        <f aca="false">IF(F8="","",F8-G8)</f>
        <v/>
      </c>
      <c r="I8" s="15"/>
      <c r="J8" s="15"/>
      <c r="K8" s="2"/>
      <c r="L8" s="2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6" t="str">
        <f aca="false">IF(F9="","",F9-G9)</f>
        <v/>
      </c>
      <c r="I9" s="15"/>
      <c r="J9" s="15"/>
      <c r="K9" s="2"/>
      <c r="L9" s="2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6" t="str">
        <f aca="false">IF(F10="","",F10-G10)</f>
        <v/>
      </c>
      <c r="I10" s="15"/>
      <c r="J10" s="15"/>
      <c r="K10" s="2"/>
      <c r="L10" s="2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6" t="str">
        <f aca="false">IF(F11="","",F11-G11)</f>
        <v/>
      </c>
      <c r="I11" s="15"/>
      <c r="J11" s="15"/>
      <c r="K11" s="2"/>
      <c r="L11" s="2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6" t="str">
        <f aca="false">IF(F12="","",F12-G12)</f>
        <v/>
      </c>
      <c r="I12" s="15"/>
      <c r="J12" s="15"/>
      <c r="K12" s="2"/>
      <c r="L12" s="2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6" t="str">
        <f aca="false">IF(F13="","",F13-G13)</f>
        <v/>
      </c>
      <c r="I13" s="15"/>
      <c r="J13" s="15"/>
      <c r="K13" s="2"/>
      <c r="L13" s="2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6" t="str">
        <f aca="false">IF(F14="","",F14-G14)</f>
        <v/>
      </c>
      <c r="I14" s="15"/>
      <c r="J14" s="15"/>
      <c r="K14" s="2"/>
      <c r="L14" s="2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6" t="str">
        <f aca="false">IF(F15="","",F15-G15)</f>
        <v/>
      </c>
      <c r="I15" s="15"/>
      <c r="J15" s="15"/>
      <c r="K15" s="2"/>
      <c r="L15" s="2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6" t="str">
        <f aca="false">IF(F16="","",F16-G16)</f>
        <v/>
      </c>
      <c r="I16" s="15"/>
      <c r="J16" s="15"/>
      <c r="K16" s="2"/>
      <c r="L16" s="2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6" t="str">
        <f aca="false">IF(F17="","",F17-G17)</f>
        <v/>
      </c>
      <c r="I17" s="15"/>
      <c r="J17" s="15"/>
      <c r="K17" s="2"/>
      <c r="L17" s="2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6" t="str">
        <f aca="false">IF(F18="","",F18-G18)</f>
        <v/>
      </c>
      <c r="I18" s="15"/>
      <c r="J18" s="15"/>
      <c r="K18" s="2"/>
      <c r="L18" s="2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6" t="str">
        <f aca="false">IF(F19="","",F19-G19)</f>
        <v/>
      </c>
      <c r="I19" s="15"/>
      <c r="J19" s="15"/>
      <c r="K19" s="2"/>
      <c r="L19" s="2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6" t="str">
        <f aca="false">IF(F20="","",F20-G20)</f>
        <v/>
      </c>
      <c r="I20" s="15"/>
      <c r="J20" s="15"/>
      <c r="K20" s="2"/>
      <c r="L20" s="2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6" t="str">
        <f aca="false">IF(F21="","",F21-G21)</f>
        <v/>
      </c>
      <c r="I21" s="15"/>
      <c r="J21" s="15"/>
      <c r="K21" s="2"/>
      <c r="L21" s="2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6" t="str">
        <f aca="false">IF(F22="","",F22-G22)</f>
        <v/>
      </c>
      <c r="I22" s="15"/>
      <c r="J22" s="15"/>
      <c r="K22" s="2"/>
      <c r="L22" s="2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6" t="str">
        <f aca="false">IF(F23="","",F23-G23)</f>
        <v/>
      </c>
      <c r="I23" s="15"/>
      <c r="J23" s="15"/>
      <c r="K23" s="2"/>
      <c r="L23" s="2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6" t="str">
        <f aca="false">IF(F24="","",F24-G24)</f>
        <v/>
      </c>
      <c r="I24" s="15"/>
      <c r="J24" s="15"/>
      <c r="K24" s="2"/>
      <c r="L24" s="2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6" t="str">
        <f aca="false">IF(F25="","",F25-G25)</f>
        <v/>
      </c>
      <c r="I25" s="15"/>
      <c r="J25" s="15"/>
      <c r="K25" s="2"/>
      <c r="L25" s="2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6" t="str">
        <f aca="false">IF(F26="","",F26-G26)</f>
        <v/>
      </c>
      <c r="I26" s="15"/>
      <c r="J26" s="15"/>
      <c r="K26" s="2"/>
      <c r="L26" s="2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6" t="str">
        <f aca="false">IF(F27="","",F27-G27)</f>
        <v/>
      </c>
      <c r="I27" s="15"/>
      <c r="J27" s="15"/>
      <c r="K27" s="2"/>
      <c r="L27" s="2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6" t="str">
        <f aca="false">IF(F28="","",F28-G28)</f>
        <v/>
      </c>
      <c r="I28" s="15"/>
      <c r="J28" s="15"/>
      <c r="K28" s="2"/>
      <c r="L28" s="2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6" t="str">
        <f aca="false">IF(F29="","",F29-G29)</f>
        <v/>
      </c>
      <c r="I29" s="15"/>
      <c r="J29" s="15"/>
      <c r="K29" s="2"/>
      <c r="L29" s="2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6" t="str">
        <f aca="false">IF(F30="","",F30-G30)</f>
        <v/>
      </c>
      <c r="I30" s="15"/>
      <c r="J30" s="15"/>
      <c r="K30" s="2"/>
      <c r="L30" s="2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6" t="str">
        <f aca="false">IF(F31="","",F31-G31)</f>
        <v/>
      </c>
      <c r="I31" s="15"/>
      <c r="J31" s="15"/>
      <c r="K31" s="2"/>
      <c r="L31" s="2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6" t="str">
        <f aca="false">IF(F32="","",F32-G32)</f>
        <v/>
      </c>
      <c r="I32" s="15"/>
      <c r="J32" s="15"/>
      <c r="K32" s="2"/>
      <c r="L32" s="2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6" t="str">
        <f aca="false">IF(F33="","",F33-G33)</f>
        <v/>
      </c>
      <c r="I33" s="15"/>
      <c r="J33" s="15"/>
      <c r="K33" s="2"/>
      <c r="L33" s="2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6" t="str">
        <f aca="false">IF(F34="","",F34-G34)</f>
        <v/>
      </c>
      <c r="I34" s="15"/>
      <c r="J34" s="15"/>
      <c r="K34" s="2"/>
      <c r="L34" s="2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6" t="str">
        <f aca="false">IF(F35="","",F35-G35)</f>
        <v/>
      </c>
      <c r="I35" s="15"/>
      <c r="J35" s="15"/>
      <c r="K35" s="2"/>
      <c r="L35" s="2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6" t="str">
        <f aca="false">IF(F36="","",F36-G36)</f>
        <v/>
      </c>
      <c r="I36" s="15"/>
      <c r="J36" s="15"/>
      <c r="K36" s="2"/>
      <c r="L36" s="2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6" t="str">
        <f aca="false">IF(F37="","",F37-G37)</f>
        <v/>
      </c>
      <c r="I37" s="15"/>
      <c r="J37" s="15"/>
      <c r="K37" s="2"/>
      <c r="L37" s="2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6" t="str">
        <f aca="false">IF(F38="","",F38-G38)</f>
        <v/>
      </c>
      <c r="I38" s="15"/>
      <c r="J38" s="15"/>
      <c r="K38" s="2"/>
      <c r="L38" s="2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6" t="str">
        <f aca="false">IF(F39="","",F39-G39)</f>
        <v/>
      </c>
      <c r="I39" s="15"/>
      <c r="J39" s="15"/>
      <c r="K39" s="2"/>
      <c r="L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60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3.85" hidden="false" customHeight="false" outlineLevel="0" collapsed="false">
      <c r="A3" s="9" t="s">
        <v>103</v>
      </c>
      <c r="B3" s="9" t="s">
        <v>104</v>
      </c>
      <c r="C3" s="9" t="s">
        <v>105</v>
      </c>
      <c r="D3" s="9" t="s">
        <v>106</v>
      </c>
      <c r="E3" s="9" t="s">
        <v>107</v>
      </c>
      <c r="F3" s="9" t="s">
        <v>108</v>
      </c>
      <c r="G3" s="9" t="s">
        <v>109</v>
      </c>
      <c r="H3" s="9" t="s">
        <v>110</v>
      </c>
      <c r="I3" s="9" t="s">
        <v>111</v>
      </c>
      <c r="J3" s="9" t="s">
        <v>64</v>
      </c>
      <c r="K3" s="9" t="s">
        <v>112</v>
      </c>
      <c r="L3" s="9" t="s">
        <v>113</v>
      </c>
      <c r="M3" s="9" t="s">
        <v>114</v>
      </c>
      <c r="N3" s="2"/>
      <c r="O3" s="12" t="s">
        <v>115</v>
      </c>
    </row>
    <row r="4" customFormat="false" ht="15" hidden="false" customHeight="false" outlineLevel="0" collapsed="false">
      <c r="A4" s="13" t="s">
        <v>116</v>
      </c>
      <c r="B4" s="13" t="s">
        <v>117</v>
      </c>
      <c r="C4" s="13" t="s">
        <v>118</v>
      </c>
      <c r="D4" s="13" t="n">
        <v>2024</v>
      </c>
      <c r="E4" s="13" t="s">
        <v>119</v>
      </c>
      <c r="F4" s="13" t="s">
        <v>120</v>
      </c>
      <c r="G4" s="13"/>
      <c r="H4" s="13" t="n">
        <v>3.47</v>
      </c>
      <c r="I4" s="13" t="s">
        <v>121</v>
      </c>
      <c r="J4" s="13" t="s">
        <v>65</v>
      </c>
      <c r="K4" s="13" t="s">
        <v>122</v>
      </c>
      <c r="L4" s="13" t="s">
        <v>123</v>
      </c>
      <c r="M4" s="13" t="s">
        <v>124</v>
      </c>
      <c r="N4" s="2"/>
      <c r="O4" s="2"/>
    </row>
  </sheetData>
  <dataValidations count="1">
    <dataValidation allowBlank="true" errorStyle="stop" operator="between" showDropDown="false" showErrorMessage="false" showInputMessage="false" sqref="L5:M10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7" min="4" style="0" width="14"/>
    <col collapsed="false" customWidth="true" hidden="false" outlineLevel="0" max="8" min="8" style="0" width="9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9" t="s">
        <v>103</v>
      </c>
      <c r="B3" s="9" t="s">
        <v>107</v>
      </c>
      <c r="C3" s="9" t="s">
        <v>106</v>
      </c>
      <c r="D3" s="9" t="s">
        <v>127</v>
      </c>
      <c r="E3" s="9" t="s">
        <v>128</v>
      </c>
      <c r="F3" s="9" t="s">
        <v>129</v>
      </c>
      <c r="G3" s="9" t="s">
        <v>130</v>
      </c>
      <c r="H3" s="9" t="s">
        <v>131</v>
      </c>
      <c r="I3" s="9" t="s">
        <v>132</v>
      </c>
      <c r="J3" s="9" t="s">
        <v>133</v>
      </c>
      <c r="K3" s="9" t="s">
        <v>134</v>
      </c>
      <c r="L3" s="9" t="s">
        <v>135</v>
      </c>
    </row>
    <row r="4" customFormat="false" ht="15" hidden="false" customHeight="false" outlineLevel="0" collapsed="false">
      <c r="A4" s="13" t="s">
        <v>116</v>
      </c>
      <c r="B4" s="13" t="s">
        <v>119</v>
      </c>
      <c r="C4" s="13" t="n">
        <v>2024</v>
      </c>
      <c r="D4" s="13" t="s">
        <v>136</v>
      </c>
      <c r="E4" s="13"/>
      <c r="F4" s="13" t="s">
        <v>136</v>
      </c>
      <c r="G4" s="13"/>
      <c r="H4" s="13" t="str">
        <f aca="false">IF(OR(D4="",F4=""),"",IF(D4=F4,"Yes","No"))</f>
        <v>Yes</v>
      </c>
      <c r="I4" s="13" t="s">
        <v>136</v>
      </c>
      <c r="J4" s="13"/>
      <c r="K4" s="13"/>
      <c r="L4" s="13" t="s">
        <v>137</v>
      </c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6" t="str">
        <f aca="false">IF(OR(D5="",F5=""),"",IF(D5=F5,"Yes","No"))</f>
        <v/>
      </c>
      <c r="I5" s="15"/>
      <c r="J5" s="15"/>
      <c r="K5" s="15"/>
      <c r="L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6" t="str">
        <f aca="false">IF(OR(D6="",F6=""),"",IF(D6=F6,"Yes","No"))</f>
        <v/>
      </c>
      <c r="I6" s="15"/>
      <c r="J6" s="15"/>
      <c r="K6" s="15"/>
      <c r="L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6" t="str">
        <f aca="false">IF(OR(D7="",F7=""),"",IF(D7=F7,"Yes","No"))</f>
        <v/>
      </c>
      <c r="I7" s="15"/>
      <c r="J7" s="15"/>
      <c r="K7" s="15"/>
      <c r="L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6" t="str">
        <f aca="false">IF(OR(D8="",F8=""),"",IF(D8=F8,"Yes","No"))</f>
        <v/>
      </c>
      <c r="I8" s="15"/>
      <c r="J8" s="15"/>
      <c r="K8" s="15"/>
      <c r="L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6" t="str">
        <f aca="false">IF(OR(D9="",F9=""),"",IF(D9=F9,"Yes","No"))</f>
        <v/>
      </c>
      <c r="I9" s="15"/>
      <c r="J9" s="15"/>
      <c r="K9" s="15"/>
      <c r="L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6" t="str">
        <f aca="false">IF(OR(D10="",F10=""),"",IF(D10=F10,"Yes","No"))</f>
        <v/>
      </c>
      <c r="I10" s="15"/>
      <c r="J10" s="15"/>
      <c r="K10" s="15"/>
      <c r="L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6" t="str">
        <f aca="false">IF(OR(D11="",F11=""),"",IF(D11=F11,"Yes","No"))</f>
        <v/>
      </c>
      <c r="I11" s="15"/>
      <c r="J11" s="15"/>
      <c r="K11" s="15"/>
      <c r="L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6" t="str">
        <f aca="false">IF(OR(D12="",F12=""),"",IF(D12=F12,"Yes","No"))</f>
        <v/>
      </c>
      <c r="I12" s="15"/>
      <c r="J12" s="15"/>
      <c r="K12" s="15"/>
      <c r="L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6" t="str">
        <f aca="false">IF(OR(D13="",F13=""),"",IF(D13=F13,"Yes","No"))</f>
        <v/>
      </c>
      <c r="I13" s="15"/>
      <c r="J13" s="15"/>
      <c r="K13" s="15"/>
      <c r="L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6" t="str">
        <f aca="false">IF(OR(D14="",F14=""),"",IF(D14=F14,"Yes","No"))</f>
        <v/>
      </c>
      <c r="I14" s="15"/>
      <c r="J14" s="15"/>
      <c r="K14" s="15"/>
      <c r="L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6" t="str">
        <f aca="false">IF(OR(D15="",F15=""),"",IF(D15=F15,"Yes","No"))</f>
        <v/>
      </c>
      <c r="I15" s="15"/>
      <c r="J15" s="15"/>
      <c r="K15" s="15"/>
      <c r="L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6" t="str">
        <f aca="false">IF(OR(D16="",F16=""),"",IF(D16=F16,"Yes","No"))</f>
        <v/>
      </c>
      <c r="I16" s="15"/>
      <c r="J16" s="15"/>
      <c r="K16" s="15"/>
      <c r="L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6" t="str">
        <f aca="false">IF(OR(D17="",F17=""),"",IF(D17=F17,"Yes","No"))</f>
        <v/>
      </c>
      <c r="I17" s="15"/>
      <c r="J17" s="15"/>
      <c r="K17" s="15"/>
      <c r="L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6" t="str">
        <f aca="false">IF(OR(D18="",F18=""),"",IF(D18=F18,"Yes","No"))</f>
        <v/>
      </c>
      <c r="I18" s="15"/>
      <c r="J18" s="15"/>
      <c r="K18" s="15"/>
      <c r="L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6" t="str">
        <f aca="false">IF(OR(D19="",F19=""),"",IF(D19=F19,"Yes","No"))</f>
        <v/>
      </c>
      <c r="I19" s="15"/>
      <c r="J19" s="15"/>
      <c r="K19" s="15"/>
      <c r="L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6" t="str">
        <f aca="false">IF(OR(D20="",F20=""),"",IF(D20=F20,"Yes","No"))</f>
        <v/>
      </c>
      <c r="I20" s="15"/>
      <c r="J20" s="15"/>
      <c r="K20" s="15"/>
      <c r="L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6" t="str">
        <f aca="false">IF(OR(D21="",F21=""),"",IF(D21=F21,"Yes","No"))</f>
        <v/>
      </c>
      <c r="I21" s="15"/>
      <c r="J21" s="15"/>
      <c r="K21" s="15"/>
      <c r="L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6" t="str">
        <f aca="false">IF(OR(D22="",F22=""),"",IF(D22=F22,"Yes","No"))</f>
        <v/>
      </c>
      <c r="I22" s="15"/>
      <c r="J22" s="15"/>
      <c r="K22" s="15"/>
      <c r="L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6" t="str">
        <f aca="false">IF(OR(D23="",F23=""),"",IF(D23=F23,"Yes","No"))</f>
        <v/>
      </c>
      <c r="I23" s="15"/>
      <c r="J23" s="15"/>
      <c r="K23" s="15"/>
      <c r="L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6" t="str">
        <f aca="false">IF(OR(D24="",F24=""),"",IF(D24=F24,"Yes","No"))</f>
        <v/>
      </c>
      <c r="I24" s="15"/>
      <c r="J24" s="15"/>
      <c r="K24" s="15"/>
      <c r="L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6" t="str">
        <f aca="false">IF(OR(D25="",F25=""),"",IF(D25=F25,"Yes","No"))</f>
        <v/>
      </c>
      <c r="I25" s="15"/>
      <c r="J25" s="15"/>
      <c r="K25" s="15"/>
      <c r="L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6" t="str">
        <f aca="false">IF(OR(D26="",F26=""),"",IF(D26=F26,"Yes","No"))</f>
        <v/>
      </c>
      <c r="I26" s="15"/>
      <c r="J26" s="15"/>
      <c r="K26" s="15"/>
      <c r="L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6" t="str">
        <f aca="false">IF(OR(D27="",F27=""),"",IF(D27=F27,"Yes","No"))</f>
        <v/>
      </c>
      <c r="I27" s="15"/>
      <c r="J27" s="15"/>
      <c r="K27" s="15"/>
      <c r="L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6" t="str">
        <f aca="false">IF(OR(D28="",F28=""),"",IF(D28=F28,"Yes","No"))</f>
        <v/>
      </c>
      <c r="I28" s="15"/>
      <c r="J28" s="15"/>
      <c r="K28" s="15"/>
      <c r="L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6" t="str">
        <f aca="false">IF(OR(D29="",F29=""),"",IF(D29=F29,"Yes","No"))</f>
        <v/>
      </c>
      <c r="I29" s="15"/>
      <c r="J29" s="15"/>
      <c r="K29" s="15"/>
      <c r="L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6" t="str">
        <f aca="false">IF(OR(D30="",F30=""),"",IF(D30=F30,"Yes","No"))</f>
        <v/>
      </c>
      <c r="I30" s="15"/>
      <c r="J30" s="15"/>
      <c r="K30" s="15"/>
      <c r="L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6" t="str">
        <f aca="false">IF(OR(D31="",F31=""),"",IF(D31=F31,"Yes","No"))</f>
        <v/>
      </c>
      <c r="I31" s="15"/>
      <c r="J31" s="15"/>
      <c r="K31" s="15"/>
      <c r="L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6" t="str">
        <f aca="false">IF(OR(D32="",F32=""),"",IF(D32=F32,"Yes","No"))</f>
        <v/>
      </c>
      <c r="I32" s="15"/>
      <c r="J32" s="15"/>
      <c r="K32" s="15"/>
      <c r="L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6" t="str">
        <f aca="false">IF(OR(D33="",F33=""),"",IF(D33=F33,"Yes","No"))</f>
        <v/>
      </c>
      <c r="I33" s="15"/>
      <c r="J33" s="15"/>
      <c r="K33" s="15"/>
      <c r="L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6" t="str">
        <f aca="false">IF(OR(D34="",F34=""),"",IF(D34=F34,"Yes","No"))</f>
        <v/>
      </c>
      <c r="I34" s="15"/>
      <c r="J34" s="15"/>
      <c r="K34" s="15"/>
      <c r="L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6" t="str">
        <f aca="false">IF(OR(D35="",F35=""),"",IF(D35=F35,"Yes","No"))</f>
        <v/>
      </c>
      <c r="I35" s="15"/>
      <c r="J35" s="15"/>
      <c r="K35" s="15"/>
      <c r="L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6" t="str">
        <f aca="false">IF(OR(D36="",F36=""),"",IF(D36=F36,"Yes","No"))</f>
        <v/>
      </c>
      <c r="I36" s="15"/>
      <c r="J36" s="15"/>
      <c r="K36" s="15"/>
      <c r="L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6" t="str">
        <f aca="false">IF(OR(D37="",F37=""),"",IF(D37=F37,"Yes","No"))</f>
        <v/>
      </c>
      <c r="I37" s="15"/>
      <c r="J37" s="15"/>
      <c r="K37" s="15"/>
      <c r="L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6" t="str">
        <f aca="false">IF(OR(D38="",F38=""),"",IF(D38=F38,"Yes","No"))</f>
        <v/>
      </c>
      <c r="I38" s="15"/>
      <c r="J38" s="15"/>
      <c r="K38" s="15"/>
      <c r="L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6" t="str">
        <f aca="false">IF(OR(D39="",F39=""),"",IF(D39=F39,"Yes","No"))</f>
        <v/>
      </c>
      <c r="I39" s="15"/>
      <c r="J39" s="15"/>
      <c r="K39" s="15"/>
      <c r="L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6" t="str">
        <f aca="false">IF(OR(D40="",F40=""),"",IF(D40=F40,"Yes","No"))</f>
        <v/>
      </c>
      <c r="I40" s="15"/>
      <c r="J40" s="15"/>
      <c r="K40" s="15"/>
      <c r="L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6" t="str">
        <f aca="false">IF(OR(D41="",F41=""),"",IF(D41=F41,"Yes","No"))</f>
        <v/>
      </c>
      <c r="I41" s="15"/>
      <c r="J41" s="15"/>
      <c r="K41" s="15"/>
      <c r="L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6" t="str">
        <f aca="false">IF(OR(D42="",F42=""),"",IF(D42=F42,"Yes","No"))</f>
        <v/>
      </c>
      <c r="I42" s="15"/>
      <c r="J42" s="15"/>
      <c r="K42" s="15"/>
      <c r="L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6" t="str">
        <f aca="false">IF(OR(D43="",F43=""),"",IF(D43=F43,"Yes","No"))</f>
        <v/>
      </c>
      <c r="I43" s="15"/>
      <c r="J43" s="15"/>
      <c r="K43" s="15"/>
      <c r="L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6" t="str">
        <f aca="false">IF(OR(D44="",F44=""),"",IF(D44=F44,"Yes","No"))</f>
        <v/>
      </c>
      <c r="I44" s="15"/>
      <c r="J44" s="15"/>
      <c r="K44" s="15"/>
      <c r="L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6" t="str">
        <f aca="false">IF(OR(D45="",F45=""),"",IF(D45=F45,"Yes","No"))</f>
        <v/>
      </c>
      <c r="I45" s="15"/>
      <c r="J45" s="15"/>
      <c r="K45" s="15"/>
      <c r="L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6" t="str">
        <f aca="false">IF(OR(D46="",F46=""),"",IF(D46=F46,"Yes","No"))</f>
        <v/>
      </c>
      <c r="I46" s="15"/>
      <c r="J46" s="15"/>
      <c r="K46" s="15"/>
      <c r="L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6" t="str">
        <f aca="false">IF(OR(D47="",F47=""),"",IF(D47=F47,"Yes","No"))</f>
        <v/>
      </c>
      <c r="I47" s="15"/>
      <c r="J47" s="15"/>
      <c r="K47" s="15"/>
      <c r="L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6" t="str">
        <f aca="false">IF(OR(D48="",F48=""),"",IF(D48=F48,"Yes","No"))</f>
        <v/>
      </c>
      <c r="I48" s="15"/>
      <c r="J48" s="15"/>
      <c r="K48" s="15"/>
      <c r="L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6" t="str">
        <f aca="false">IF(OR(D49="",F49=""),"",IF(D49=F49,"Yes","No"))</f>
        <v/>
      </c>
      <c r="I49" s="15"/>
      <c r="J49" s="15"/>
      <c r="K49" s="15"/>
      <c r="L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6" t="str">
        <f aca="false">IF(OR(D50="",F50=""),"",IF(D50=F50,"Yes","No"))</f>
        <v/>
      </c>
      <c r="I50" s="15"/>
      <c r="J50" s="15"/>
      <c r="K50" s="15"/>
      <c r="L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6" t="str">
        <f aca="false">IF(OR(D51="",F51=""),"",IF(D51=F51,"Yes","No"))</f>
        <v/>
      </c>
      <c r="I51" s="15"/>
      <c r="J51" s="15"/>
      <c r="K51" s="15"/>
      <c r="L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6" t="str">
        <f aca="false">IF(OR(D52="",F52=""),"",IF(D52=F52,"Yes","No"))</f>
        <v/>
      </c>
      <c r="I52" s="15"/>
      <c r="J52" s="15"/>
      <c r="K52" s="15"/>
      <c r="L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6" t="str">
        <f aca="false">IF(OR(D53="",F53=""),"",IF(D53=F53,"Yes","No"))</f>
        <v/>
      </c>
      <c r="I53" s="15"/>
      <c r="J53" s="15"/>
      <c r="K53" s="15"/>
      <c r="L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6" t="str">
        <f aca="false">IF(OR(D54="",F54=""),"",IF(D54=F54,"Yes","No"))</f>
        <v/>
      </c>
      <c r="I54" s="15"/>
      <c r="J54" s="15"/>
      <c r="K54" s="15"/>
      <c r="L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6" t="str">
        <f aca="false">IF(OR(D55="",F55=""),"",IF(D55=F55,"Yes","No"))</f>
        <v/>
      </c>
      <c r="I55" s="15"/>
      <c r="J55" s="15"/>
      <c r="K55" s="15"/>
      <c r="L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6" t="str">
        <f aca="false">IF(OR(D56="",F56=""),"",IF(D56=F56,"Yes","No"))</f>
        <v/>
      </c>
      <c r="I56" s="15"/>
      <c r="J56" s="15"/>
      <c r="K56" s="15"/>
      <c r="L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6" t="str">
        <f aca="false">IF(OR(D57="",F57=""),"",IF(D57=F57,"Yes","No"))</f>
        <v/>
      </c>
      <c r="I57" s="15"/>
      <c r="J57" s="15"/>
      <c r="K57" s="15"/>
      <c r="L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6" t="str">
        <f aca="false">IF(OR(D58="",F58=""),"",IF(D58=F58,"Yes","No"))</f>
        <v/>
      </c>
      <c r="I58" s="15"/>
      <c r="J58" s="15"/>
      <c r="K58" s="15"/>
      <c r="L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6" t="str">
        <f aca="false">IF(OR(D59="",F59=""),"",IF(D59=F59,"Yes","No"))</f>
        <v/>
      </c>
      <c r="I59" s="15"/>
      <c r="J59" s="15"/>
      <c r="K59" s="15"/>
      <c r="L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6" t="str">
        <f aca="false">IF(OR(D60="",F60=""),"",IF(D60=F60,"Yes","No"))</f>
        <v/>
      </c>
      <c r="I60" s="15"/>
      <c r="J60" s="15"/>
      <c r="K60" s="15"/>
      <c r="L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6" t="str">
        <f aca="false">IF(OR(D61="",F61=""),"",IF(D61=F61,"Yes","No"))</f>
        <v/>
      </c>
      <c r="I61" s="15"/>
      <c r="J61" s="15"/>
      <c r="K61" s="15"/>
      <c r="L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6" t="str">
        <f aca="false">IF(OR(D62="",F62=""),"",IF(D62=F62,"Yes","No"))</f>
        <v/>
      </c>
      <c r="I62" s="15"/>
      <c r="J62" s="15"/>
      <c r="K62" s="15"/>
      <c r="L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6" t="str">
        <f aca="false">IF(OR(D63="",F63=""),"",IF(D63=F63,"Yes","No"))</f>
        <v/>
      </c>
      <c r="I63" s="15"/>
      <c r="J63" s="15"/>
      <c r="K63" s="15"/>
      <c r="L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6" t="str">
        <f aca="false">IF(OR(D64="",F64=""),"",IF(D64=F64,"Yes","No"))</f>
        <v/>
      </c>
      <c r="I64" s="15"/>
      <c r="J64" s="15"/>
      <c r="K64" s="15"/>
      <c r="L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6" t="str">
        <f aca="false">IF(OR(D65="",F65=""),"",IF(D65=F65,"Yes","No"))</f>
        <v/>
      </c>
      <c r="I65" s="15"/>
      <c r="J65" s="15"/>
      <c r="K65" s="15"/>
      <c r="L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6" t="str">
        <f aca="false">IF(OR(D66="",F66=""),"",IF(D66=F66,"Yes","No"))</f>
        <v/>
      </c>
      <c r="I66" s="15"/>
      <c r="J66" s="15"/>
      <c r="K66" s="15"/>
      <c r="L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6" t="str">
        <f aca="false">IF(OR(D67="",F67=""),"",IF(D67=F67,"Yes","No"))</f>
        <v/>
      </c>
      <c r="I67" s="15"/>
      <c r="J67" s="15"/>
      <c r="K67" s="15"/>
      <c r="L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6" t="str">
        <f aca="false">IF(OR(D68="",F68=""),"",IF(D68=F68,"Yes","No"))</f>
        <v/>
      </c>
      <c r="I68" s="15"/>
      <c r="J68" s="15"/>
      <c r="K68" s="15"/>
      <c r="L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6" t="str">
        <f aca="false">IF(OR(D69="",F69=""),"",IF(D69=F69,"Yes","No"))</f>
        <v/>
      </c>
      <c r="I69" s="15"/>
      <c r="J69" s="15"/>
      <c r="K69" s="15"/>
      <c r="L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6" t="str">
        <f aca="false">IF(OR(D70="",F70=""),"",IF(D70=F70,"Yes","No"))</f>
        <v/>
      </c>
      <c r="I70" s="15"/>
      <c r="J70" s="15"/>
      <c r="K70" s="15"/>
      <c r="L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6" t="str">
        <f aca="false">IF(OR(D71="",F71=""),"",IF(D71=F71,"Yes","No"))</f>
        <v/>
      </c>
      <c r="I71" s="15"/>
      <c r="J71" s="15"/>
      <c r="K71" s="15"/>
      <c r="L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6" t="str">
        <f aca="false">IF(OR(D72="",F72=""),"",IF(D72=F72,"Yes","No"))</f>
        <v/>
      </c>
      <c r="I72" s="15"/>
      <c r="J72" s="15"/>
      <c r="K72" s="15"/>
      <c r="L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6" t="str">
        <f aca="false">IF(OR(D73="",F73=""),"",IF(D73=F73,"Yes","No"))</f>
        <v/>
      </c>
      <c r="I73" s="15"/>
      <c r="J73" s="15"/>
      <c r="K73" s="15"/>
      <c r="L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6" t="str">
        <f aca="false">IF(OR(D74="",F74=""),"",IF(D74=F74,"Yes","No"))</f>
        <v/>
      </c>
      <c r="I74" s="15"/>
      <c r="J74" s="15"/>
      <c r="K74" s="15"/>
      <c r="L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6" t="str">
        <f aca="false">IF(OR(D75="",F75=""),"",IF(D75=F75,"Yes","No"))</f>
        <v/>
      </c>
      <c r="I75" s="15"/>
      <c r="J75" s="15"/>
      <c r="K75" s="15"/>
      <c r="L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6" t="str">
        <f aca="false">IF(OR(D76="",F76=""),"",IF(D76=F76,"Yes","No"))</f>
        <v/>
      </c>
      <c r="I76" s="15"/>
      <c r="J76" s="15"/>
      <c r="K76" s="15"/>
      <c r="L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6" t="str">
        <f aca="false">IF(OR(D77="",F77=""),"",IF(D77=F77,"Yes","No"))</f>
        <v/>
      </c>
      <c r="I77" s="15"/>
      <c r="J77" s="15"/>
      <c r="K77" s="15"/>
      <c r="L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6" t="str">
        <f aca="false">IF(OR(D78="",F78=""),"",IF(D78=F78,"Yes","No"))</f>
        <v/>
      </c>
      <c r="I78" s="15"/>
      <c r="J78" s="15"/>
      <c r="K78" s="15"/>
      <c r="L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6" t="str">
        <f aca="false">IF(OR(D79="",F79=""),"",IF(D79=F79,"Yes","No"))</f>
        <v/>
      </c>
      <c r="I79" s="15"/>
      <c r="J79" s="15"/>
      <c r="K79" s="15"/>
      <c r="L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6" t="str">
        <f aca="false">IF(OR(D80="",F80=""),"",IF(D80=F80,"Yes","No"))</f>
        <v/>
      </c>
      <c r="I80" s="15"/>
      <c r="J80" s="15"/>
      <c r="K80" s="15"/>
      <c r="L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6" t="str">
        <f aca="false">IF(OR(D81="",F81=""),"",IF(D81=F81,"Yes","No"))</f>
        <v/>
      </c>
      <c r="I81" s="15"/>
      <c r="J81" s="15"/>
      <c r="K81" s="15"/>
      <c r="L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6" t="str">
        <f aca="false">IF(OR(D82="",F82=""),"",IF(D82=F82,"Yes","No"))</f>
        <v/>
      </c>
      <c r="I82" s="15"/>
      <c r="J82" s="15"/>
      <c r="K82" s="15"/>
      <c r="L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6" t="str">
        <f aca="false">IF(OR(D83="",F83=""),"",IF(D83=F83,"Yes","No"))</f>
        <v/>
      </c>
      <c r="I83" s="15"/>
      <c r="J83" s="15"/>
      <c r="K83" s="15"/>
      <c r="L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6" t="str">
        <f aca="false">IF(OR(D84="",F84=""),"",IF(D84=F84,"Yes","No"))</f>
        <v/>
      </c>
      <c r="I84" s="15"/>
      <c r="J84" s="15"/>
      <c r="K84" s="15"/>
      <c r="L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6" t="str">
        <f aca="false">IF(OR(D85="",F85=""),"",IF(D85=F85,"Yes","No"))</f>
        <v/>
      </c>
      <c r="I85" s="15"/>
      <c r="J85" s="15"/>
      <c r="K85" s="15"/>
      <c r="L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6" t="str">
        <f aca="false">IF(OR(D86="",F86=""),"",IF(D86=F86,"Yes","No"))</f>
        <v/>
      </c>
      <c r="I86" s="15"/>
      <c r="J86" s="15"/>
      <c r="K86" s="15"/>
      <c r="L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6" t="str">
        <f aca="false">IF(OR(D87="",F87=""),"",IF(D87=F87,"Yes","No"))</f>
        <v/>
      </c>
      <c r="I87" s="15"/>
      <c r="J87" s="15"/>
      <c r="K87" s="15"/>
      <c r="L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6" t="str">
        <f aca="false">IF(OR(D88="",F88=""),"",IF(D88=F88,"Yes","No"))</f>
        <v/>
      </c>
      <c r="I88" s="15"/>
      <c r="J88" s="15"/>
      <c r="K88" s="15"/>
      <c r="L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6" t="str">
        <f aca="false">IF(OR(D89="",F89=""),"",IF(D89=F89,"Yes","No"))</f>
        <v/>
      </c>
      <c r="I89" s="15"/>
      <c r="J89" s="15"/>
      <c r="K89" s="15"/>
      <c r="L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6" t="str">
        <f aca="false">IF(OR(D90="",F90=""),"",IF(D90=F90,"Yes","No"))</f>
        <v/>
      </c>
      <c r="I90" s="15"/>
      <c r="J90" s="15"/>
      <c r="K90" s="15"/>
      <c r="L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6" t="str">
        <f aca="false">IF(OR(D91="",F91=""),"",IF(D91=F91,"Yes","No"))</f>
        <v/>
      </c>
      <c r="I91" s="15"/>
      <c r="J91" s="15"/>
      <c r="K91" s="15"/>
      <c r="L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6" t="str">
        <f aca="false">IF(OR(D92="",F92=""),"",IF(D92=F92,"Yes","No"))</f>
        <v/>
      </c>
      <c r="I92" s="15"/>
      <c r="J92" s="15"/>
      <c r="K92" s="15"/>
      <c r="L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6" t="str">
        <f aca="false">IF(OR(D93="",F93=""),"",IF(D93=F93,"Yes","No"))</f>
        <v/>
      </c>
      <c r="I93" s="15"/>
      <c r="J93" s="15"/>
      <c r="K93" s="15"/>
      <c r="L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6" t="str">
        <f aca="false">IF(OR(D94="",F94=""),"",IF(D94=F94,"Yes","No"))</f>
        <v/>
      </c>
      <c r="I94" s="15"/>
      <c r="J94" s="15"/>
      <c r="K94" s="15"/>
      <c r="L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6" t="str">
        <f aca="false">IF(OR(D95="",F95=""),"",IF(D95=F95,"Yes","No"))</f>
        <v/>
      </c>
      <c r="I95" s="15"/>
      <c r="J95" s="15"/>
      <c r="K95" s="15"/>
      <c r="L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6" t="str">
        <f aca="false">IF(OR(D96="",F96=""),"",IF(D96=F96,"Yes","No"))</f>
        <v/>
      </c>
      <c r="I96" s="15"/>
      <c r="J96" s="15"/>
      <c r="K96" s="15"/>
      <c r="L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6" t="str">
        <f aca="false">IF(OR(D97="",F97=""),"",IF(D97=F97,"Yes","No"))</f>
        <v/>
      </c>
      <c r="I97" s="15"/>
      <c r="J97" s="15"/>
      <c r="K97" s="15"/>
      <c r="L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6" t="str">
        <f aca="false">IF(OR(D98="",F98=""),"",IF(D98=F98,"Yes","No"))</f>
        <v/>
      </c>
      <c r="I98" s="15"/>
      <c r="J98" s="15"/>
      <c r="K98" s="15"/>
      <c r="L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6" t="str">
        <f aca="false">IF(OR(D99="",F99=""),"",IF(D99=F99,"Yes","No"))</f>
        <v/>
      </c>
      <c r="I99" s="15"/>
      <c r="J99" s="15"/>
      <c r="K99" s="15"/>
      <c r="L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6" t="str">
        <f aca="false">IF(OR(D100="",F100=""),"",IF(D100=F100,"Yes","No"))</f>
        <v/>
      </c>
      <c r="I100" s="15"/>
      <c r="J100" s="15"/>
      <c r="K100" s="15"/>
      <c r="L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6" t="str">
        <f aca="false">IF(OR(D101="",F101=""),"",IF(D101=F101,"Yes","No"))</f>
        <v/>
      </c>
      <c r="I101" s="15"/>
      <c r="J101" s="15"/>
      <c r="K101" s="15"/>
      <c r="L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6" t="str">
        <f aca="false">IF(OR(D102="",F102=""),"",IF(D102=F102,"Yes","No"))</f>
        <v/>
      </c>
      <c r="I102" s="15"/>
      <c r="J102" s="15"/>
      <c r="K102" s="15"/>
      <c r="L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6" t="str">
        <f aca="false">IF(OR(D103="",F103=""),"",IF(D103=F103,"Yes","No"))</f>
        <v/>
      </c>
      <c r="I103" s="15"/>
      <c r="J103" s="15"/>
      <c r="K103" s="15"/>
      <c r="L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6" t="str">
        <f aca="false">IF(OR(D104="",F104=""),"",IF(D104=F104,"Yes","No"))</f>
        <v/>
      </c>
      <c r="I104" s="15"/>
      <c r="J104" s="15"/>
      <c r="K104" s="15"/>
      <c r="L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6" t="str">
        <f aca="false">IF(OR(D105="",F105=""),"",IF(D105=F105,"Yes","No"))</f>
        <v/>
      </c>
      <c r="I105" s="15"/>
      <c r="J105" s="15"/>
      <c r="K105" s="15"/>
      <c r="L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6" t="str">
        <f aca="false">IF(OR(D106="",F106=""),"",IF(D106=F106,"Yes","No"))</f>
        <v/>
      </c>
      <c r="I106" s="15"/>
      <c r="J106" s="15"/>
      <c r="K106" s="15"/>
      <c r="L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6" t="str">
        <f aca="false">IF(OR(D107="",F107=""),"",IF(D107=F107,"Yes","No"))</f>
        <v/>
      </c>
      <c r="I107" s="15"/>
      <c r="J107" s="15"/>
      <c r="K107" s="15"/>
      <c r="L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6" t="str">
        <f aca="false">IF(OR(D108="",F108=""),"",IF(D108=F108,"Yes","No"))</f>
        <v/>
      </c>
      <c r="I108" s="15"/>
      <c r="J108" s="15"/>
      <c r="K108" s="15"/>
      <c r="L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6" t="str">
        <f aca="false">IF(OR(D109="",F109=""),"",IF(D109=F109,"Yes","No"))</f>
        <v/>
      </c>
      <c r="I109" s="15"/>
      <c r="J109" s="15"/>
      <c r="K109" s="15"/>
      <c r="L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6" t="str">
        <f aca="false">IF(OR(D110="",F110=""),"",IF(D110=F110,"Yes","No"))</f>
        <v/>
      </c>
      <c r="I110" s="15"/>
      <c r="J110" s="15"/>
      <c r="K110" s="15"/>
      <c r="L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6" t="str">
        <f aca="false">IF(OR(D111="",F111=""),"",IF(D111=F111,"Yes","No"))</f>
        <v/>
      </c>
      <c r="I111" s="15"/>
      <c r="J111" s="15"/>
      <c r="K111" s="15"/>
      <c r="L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6" t="str">
        <f aca="false">IF(OR(D112="",F112=""),"",IF(D112=F112,"Yes","No"))</f>
        <v/>
      </c>
      <c r="I112" s="15"/>
      <c r="J112" s="15"/>
      <c r="K112" s="15"/>
      <c r="L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6" t="str">
        <f aca="false">IF(OR(D113="",F113=""),"",IF(D113=F113,"Yes","No"))</f>
        <v/>
      </c>
      <c r="I113" s="15"/>
      <c r="J113" s="15"/>
      <c r="K113" s="15"/>
      <c r="L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6" t="str">
        <f aca="false">IF(OR(D114="",F114=""),"",IF(D114=F114,"Yes","No"))</f>
        <v/>
      </c>
      <c r="I114" s="15"/>
      <c r="J114" s="15"/>
      <c r="K114" s="15"/>
      <c r="L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6" t="str">
        <f aca="false">IF(OR(D115="",F115=""),"",IF(D115=F115,"Yes","No"))</f>
        <v/>
      </c>
      <c r="I115" s="15"/>
      <c r="J115" s="15"/>
      <c r="K115" s="15"/>
      <c r="L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6" t="str">
        <f aca="false">IF(OR(D116="",F116=""),"",IF(D116=F116,"Yes","No"))</f>
        <v/>
      </c>
      <c r="I116" s="15"/>
      <c r="J116" s="15"/>
      <c r="K116" s="15"/>
      <c r="L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6" t="str">
        <f aca="false">IF(OR(D117="",F117=""),"",IF(D117=F117,"Yes","No"))</f>
        <v/>
      </c>
      <c r="I117" s="15"/>
      <c r="J117" s="15"/>
      <c r="K117" s="15"/>
      <c r="L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6" t="str">
        <f aca="false">IF(OR(D118="",F118=""),"",IF(D118=F118,"Yes","No"))</f>
        <v/>
      </c>
      <c r="I118" s="15"/>
      <c r="J118" s="15"/>
      <c r="K118" s="15"/>
      <c r="L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6" t="str">
        <f aca="false">IF(OR(D119="",F119=""),"",IF(D119=F119,"Yes","No"))</f>
        <v/>
      </c>
      <c r="I119" s="15"/>
      <c r="J119" s="15"/>
      <c r="K119" s="15"/>
      <c r="L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6" t="str">
        <f aca="false">IF(OR(D120="",F120=""),"",IF(D120=F120,"Yes","No"))</f>
        <v/>
      </c>
      <c r="I120" s="15"/>
      <c r="J120" s="15"/>
      <c r="K120" s="15"/>
      <c r="L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6" t="str">
        <f aca="false">IF(OR(D121="",F121=""),"",IF(D121=F121,"Yes","No"))</f>
        <v/>
      </c>
      <c r="I121" s="15"/>
      <c r="J121" s="15"/>
      <c r="K121" s="15"/>
      <c r="L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6" t="str">
        <f aca="false">IF(OR(D122="",F122=""),"",IF(D122=F122,"Yes","No"))</f>
        <v/>
      </c>
      <c r="I122" s="15"/>
      <c r="J122" s="15"/>
      <c r="K122" s="15"/>
      <c r="L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6" t="str">
        <f aca="false">IF(OR(D123="",F123=""),"",IF(D123=F123,"Yes","No"))</f>
        <v/>
      </c>
      <c r="I123" s="15"/>
      <c r="J123" s="15"/>
      <c r="K123" s="15"/>
      <c r="L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6" t="str">
        <f aca="false">IF(OR(D124="",F124=""),"",IF(D124=F124,"Yes","No"))</f>
        <v/>
      </c>
      <c r="I124" s="15"/>
      <c r="J124" s="15"/>
      <c r="K124" s="15"/>
      <c r="L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6" t="str">
        <f aca="false">IF(OR(D125="",F125=""),"",IF(D125=F125,"Yes","No"))</f>
        <v/>
      </c>
      <c r="I125" s="15"/>
      <c r="J125" s="15"/>
      <c r="K125" s="15"/>
      <c r="L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6" t="str">
        <f aca="false">IF(OR(D126="",F126=""),"",IF(D126=F126,"Yes","No"))</f>
        <v/>
      </c>
      <c r="I126" s="15"/>
      <c r="J126" s="15"/>
      <c r="K126" s="15"/>
      <c r="L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6" t="str">
        <f aca="false">IF(OR(D127="",F127=""),"",IF(D127=F127,"Yes","No"))</f>
        <v/>
      </c>
      <c r="I127" s="15"/>
      <c r="J127" s="15"/>
      <c r="K127" s="15"/>
      <c r="L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6" t="str">
        <f aca="false">IF(OR(D128="",F128=""),"",IF(D128=F128,"Yes","No"))</f>
        <v/>
      </c>
      <c r="I128" s="15"/>
      <c r="J128" s="15"/>
      <c r="K128" s="15"/>
      <c r="L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6" t="str">
        <f aca="false">IF(OR(D129="",F129=""),"",IF(D129=F129,"Yes","No"))</f>
        <v/>
      </c>
      <c r="I129" s="15"/>
      <c r="J129" s="15"/>
      <c r="K129" s="15"/>
      <c r="L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6" t="str">
        <f aca="false">IF(OR(D130="",F130=""),"",IF(D130=F130,"Yes","No"))</f>
        <v/>
      </c>
      <c r="I130" s="15"/>
      <c r="J130" s="15"/>
      <c r="K130" s="15"/>
      <c r="L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6" t="str">
        <f aca="false">IF(OR(D131="",F131=""),"",IF(D131=F131,"Yes","No"))</f>
        <v/>
      </c>
      <c r="I131" s="15"/>
      <c r="J131" s="15"/>
      <c r="K131" s="15"/>
      <c r="L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6" t="str">
        <f aca="false">IF(OR(D132="",F132=""),"",IF(D132=F132,"Yes","No"))</f>
        <v/>
      </c>
      <c r="I132" s="15"/>
      <c r="J132" s="15"/>
      <c r="K132" s="15"/>
      <c r="L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6" t="str">
        <f aca="false">IF(OR(D133="",F133=""),"",IF(D133=F133,"Yes","No"))</f>
        <v/>
      </c>
      <c r="I133" s="15"/>
      <c r="J133" s="15"/>
      <c r="K133" s="15"/>
      <c r="L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6" t="str">
        <f aca="false">IF(OR(D134="",F134=""),"",IF(D134=F134,"Yes","No"))</f>
        <v/>
      </c>
      <c r="I134" s="15"/>
      <c r="J134" s="15"/>
      <c r="K134" s="15"/>
      <c r="L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6" t="str">
        <f aca="false">IF(OR(D135="",F135=""),"",IF(D135=F135,"Yes","No"))</f>
        <v/>
      </c>
      <c r="I135" s="15"/>
      <c r="J135" s="15"/>
      <c r="K135" s="15"/>
      <c r="L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6" t="str">
        <f aca="false">IF(OR(D136="",F136=""),"",IF(D136=F136,"Yes","No"))</f>
        <v/>
      </c>
      <c r="I136" s="15"/>
      <c r="J136" s="15"/>
      <c r="K136" s="15"/>
      <c r="L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6" t="str">
        <f aca="false">IF(OR(D137="",F137=""),"",IF(D137=F137,"Yes","No"))</f>
        <v/>
      </c>
      <c r="I137" s="15"/>
      <c r="J137" s="15"/>
      <c r="K137" s="15"/>
      <c r="L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6" t="str">
        <f aca="false">IF(OR(D138="",F138=""),"",IF(D138=F138,"Yes","No"))</f>
        <v/>
      </c>
      <c r="I138" s="15"/>
      <c r="J138" s="15"/>
      <c r="K138" s="15"/>
      <c r="L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6" t="str">
        <f aca="false">IF(OR(D139="",F139=""),"",IF(D139=F139,"Yes","No"))</f>
        <v/>
      </c>
      <c r="I139" s="15"/>
      <c r="J139" s="15"/>
      <c r="K139" s="15"/>
      <c r="L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6" t="str">
        <f aca="false">IF(OR(D140="",F140=""),"",IF(D140=F140,"Yes","No"))</f>
        <v/>
      </c>
      <c r="I140" s="15"/>
      <c r="J140" s="15"/>
      <c r="K140" s="15"/>
      <c r="L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6" t="str">
        <f aca="false">IF(OR(D141="",F141=""),"",IF(D141=F141,"Yes","No"))</f>
        <v/>
      </c>
      <c r="I141" s="15"/>
      <c r="J141" s="15"/>
      <c r="K141" s="15"/>
      <c r="L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6" t="str">
        <f aca="false">IF(OR(D142="",F142=""),"",IF(D142=F142,"Yes","No"))</f>
        <v/>
      </c>
      <c r="I142" s="15"/>
      <c r="J142" s="15"/>
      <c r="K142" s="15"/>
      <c r="L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6" t="str">
        <f aca="false">IF(OR(D143="",F143=""),"",IF(D143=F143,"Yes","No"))</f>
        <v/>
      </c>
      <c r="I143" s="15"/>
      <c r="J143" s="15"/>
      <c r="K143" s="15"/>
      <c r="L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6" t="str">
        <f aca="false">IF(OR(D144="",F144=""),"",IF(D144=F144,"Yes","No"))</f>
        <v/>
      </c>
      <c r="I144" s="15"/>
      <c r="J144" s="15"/>
      <c r="K144" s="15"/>
      <c r="L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6" t="str">
        <f aca="false">IF(OR(D145="",F145=""),"",IF(D145=F145,"Yes","No"))</f>
        <v/>
      </c>
      <c r="I145" s="15"/>
      <c r="J145" s="15"/>
      <c r="K145" s="15"/>
      <c r="L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6" t="str">
        <f aca="false">IF(OR(D146="",F146=""),"",IF(D146=F146,"Yes","No"))</f>
        <v/>
      </c>
      <c r="I146" s="15"/>
      <c r="J146" s="15"/>
      <c r="K146" s="15"/>
      <c r="L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6" t="str">
        <f aca="false">IF(OR(D147="",F147=""),"",IF(D147=F147,"Yes","No"))</f>
        <v/>
      </c>
      <c r="I147" s="15"/>
      <c r="J147" s="15"/>
      <c r="K147" s="15"/>
      <c r="L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6" t="str">
        <f aca="false">IF(OR(D148="",F148=""),"",IF(D148=F148,"Yes","No"))</f>
        <v/>
      </c>
      <c r="I148" s="15"/>
      <c r="J148" s="15"/>
      <c r="K148" s="15"/>
      <c r="L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6" t="str">
        <f aca="false">IF(OR(D149="",F149=""),"",IF(D149=F149,"Yes","No"))</f>
        <v/>
      </c>
      <c r="I149" s="15"/>
      <c r="J149" s="15"/>
      <c r="K149" s="15"/>
      <c r="L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6" t="str">
        <f aca="false">IF(OR(D150="",F150=""),"",IF(D150=F150,"Yes","No"))</f>
        <v/>
      </c>
      <c r="I150" s="15"/>
      <c r="J150" s="15"/>
      <c r="K150" s="15"/>
      <c r="L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6" t="str">
        <f aca="false">IF(OR(D151="",F151=""),"",IF(D151=F151,"Yes","No"))</f>
        <v/>
      </c>
      <c r="I151" s="15"/>
      <c r="J151" s="15"/>
      <c r="K151" s="15"/>
      <c r="L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6" t="str">
        <f aca="false">IF(OR(D152="",F152=""),"",IF(D152=F152,"Yes","No"))</f>
        <v/>
      </c>
      <c r="I152" s="15"/>
      <c r="J152" s="15"/>
      <c r="K152" s="15"/>
      <c r="L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6" t="str">
        <f aca="false">IF(OR(D153="",F153=""),"",IF(D153=F153,"Yes","No"))</f>
        <v/>
      </c>
      <c r="I153" s="15"/>
      <c r="J153" s="15"/>
      <c r="K153" s="15"/>
      <c r="L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6" t="str">
        <f aca="false">IF(OR(D154="",F154=""),"",IF(D154=F154,"Yes","No"))</f>
        <v/>
      </c>
      <c r="I154" s="15"/>
      <c r="J154" s="15"/>
      <c r="K154" s="15"/>
      <c r="L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6" t="str">
        <f aca="false">IF(OR(D155="",F155=""),"",IF(D155=F155,"Yes","No"))</f>
        <v/>
      </c>
      <c r="I155" s="15"/>
      <c r="J155" s="15"/>
      <c r="K155" s="15"/>
      <c r="L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6" t="str">
        <f aca="false">IF(OR(D156="",F156=""),"",IF(D156=F156,"Yes","No"))</f>
        <v/>
      </c>
      <c r="I156" s="15"/>
      <c r="J156" s="15"/>
      <c r="K156" s="15"/>
      <c r="L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6" t="str">
        <f aca="false">IF(OR(D157="",F157=""),"",IF(D157=F157,"Yes","No"))</f>
        <v/>
      </c>
      <c r="I157" s="15"/>
      <c r="J157" s="15"/>
      <c r="K157" s="15"/>
      <c r="L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6" t="str">
        <f aca="false">IF(OR(D158="",F158=""),"",IF(D158=F158,"Yes","No"))</f>
        <v/>
      </c>
      <c r="I158" s="15"/>
      <c r="J158" s="15"/>
      <c r="K158" s="15"/>
      <c r="L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6" t="str">
        <f aca="false">IF(OR(D159="",F159=""),"",IF(D159=F159,"Yes","No"))</f>
        <v/>
      </c>
      <c r="I159" s="15"/>
      <c r="J159" s="15"/>
      <c r="K159" s="15"/>
      <c r="L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6" t="str">
        <f aca="false">IF(OR(D160="",F160=""),"",IF(D160=F160,"Yes","No"))</f>
        <v/>
      </c>
      <c r="I160" s="15"/>
      <c r="J160" s="15"/>
      <c r="K160" s="15"/>
      <c r="L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6" t="str">
        <f aca="false">IF(OR(D161="",F161=""),"",IF(D161=F161,"Yes","No"))</f>
        <v/>
      </c>
      <c r="I161" s="15"/>
      <c r="J161" s="15"/>
      <c r="K161" s="15"/>
      <c r="L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6" t="str">
        <f aca="false">IF(OR(D162="",F162=""),"",IF(D162=F162,"Yes","No"))</f>
        <v/>
      </c>
      <c r="I162" s="15"/>
      <c r="J162" s="15"/>
      <c r="K162" s="15"/>
      <c r="L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6" t="str">
        <f aca="false">IF(OR(D163="",F163=""),"",IF(D163=F163,"Yes","No"))</f>
        <v/>
      </c>
      <c r="I163" s="15"/>
      <c r="J163" s="15"/>
      <c r="K163" s="15"/>
      <c r="L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6" t="str">
        <f aca="false">IF(OR(D164="",F164=""),"",IF(D164=F164,"Yes","No"))</f>
        <v/>
      </c>
      <c r="I164" s="15"/>
      <c r="J164" s="15"/>
      <c r="K164" s="15"/>
      <c r="L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6" t="str">
        <f aca="false">IF(OR(D165="",F165=""),"",IF(D165=F165,"Yes","No"))</f>
        <v/>
      </c>
      <c r="I165" s="15"/>
      <c r="J165" s="15"/>
      <c r="K165" s="15"/>
      <c r="L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6" t="str">
        <f aca="false">IF(OR(D166="",F166=""),"",IF(D166=F166,"Yes","No"))</f>
        <v/>
      </c>
      <c r="I166" s="15"/>
      <c r="J166" s="15"/>
      <c r="K166" s="15"/>
      <c r="L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6" t="str">
        <f aca="false">IF(OR(D167="",F167=""),"",IF(D167=F167,"Yes","No"))</f>
        <v/>
      </c>
      <c r="I167" s="15"/>
      <c r="J167" s="15"/>
      <c r="K167" s="15"/>
      <c r="L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6" t="str">
        <f aca="false">IF(OR(D168="",F168=""),"",IF(D168=F168,"Yes","No"))</f>
        <v/>
      </c>
      <c r="I168" s="15"/>
      <c r="J168" s="15"/>
      <c r="K168" s="15"/>
      <c r="L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6" t="str">
        <f aca="false">IF(OR(D169="",F169=""),"",IF(D169=F169,"Yes","No"))</f>
        <v/>
      </c>
      <c r="I169" s="15"/>
      <c r="J169" s="15"/>
      <c r="K169" s="15"/>
      <c r="L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6" t="str">
        <f aca="false">IF(OR(D170="",F170=""),"",IF(D170=F170,"Yes","No"))</f>
        <v/>
      </c>
      <c r="I170" s="15"/>
      <c r="J170" s="15"/>
      <c r="K170" s="15"/>
      <c r="L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6" t="str">
        <f aca="false">IF(OR(D171="",F171=""),"",IF(D171=F171,"Yes","No"))</f>
        <v/>
      </c>
      <c r="I171" s="15"/>
      <c r="J171" s="15"/>
      <c r="K171" s="15"/>
      <c r="L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6" t="str">
        <f aca="false">IF(OR(D172="",F172=""),"",IF(D172=F172,"Yes","No"))</f>
        <v/>
      </c>
      <c r="I172" s="15"/>
      <c r="J172" s="15"/>
      <c r="K172" s="15"/>
      <c r="L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6" t="str">
        <f aca="false">IF(OR(D173="",F173=""),"",IF(D173=F173,"Yes","No"))</f>
        <v/>
      </c>
      <c r="I173" s="15"/>
      <c r="J173" s="15"/>
      <c r="K173" s="15"/>
      <c r="L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6" t="str">
        <f aca="false">IF(OR(D174="",F174=""),"",IF(D174=F174,"Yes","No"))</f>
        <v/>
      </c>
      <c r="I174" s="15"/>
      <c r="J174" s="15"/>
      <c r="K174" s="15"/>
      <c r="L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6" t="str">
        <f aca="false">IF(OR(D175="",F175=""),"",IF(D175=F175,"Yes","No"))</f>
        <v/>
      </c>
      <c r="I175" s="15"/>
      <c r="J175" s="15"/>
      <c r="K175" s="15"/>
      <c r="L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6" t="str">
        <f aca="false">IF(OR(D176="",F176=""),"",IF(D176=F176,"Yes","No"))</f>
        <v/>
      </c>
      <c r="I176" s="15"/>
      <c r="J176" s="15"/>
      <c r="K176" s="15"/>
      <c r="L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6" t="str">
        <f aca="false">IF(OR(D177="",F177=""),"",IF(D177=F177,"Yes","No"))</f>
        <v/>
      </c>
      <c r="I177" s="15"/>
      <c r="J177" s="15"/>
      <c r="K177" s="15"/>
      <c r="L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6" t="str">
        <f aca="false">IF(OR(D178="",F178=""),"",IF(D178=F178,"Yes","No"))</f>
        <v/>
      </c>
      <c r="I178" s="15"/>
      <c r="J178" s="15"/>
      <c r="K178" s="15"/>
      <c r="L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6" t="str">
        <f aca="false">IF(OR(D179="",F179=""),"",IF(D179=F179,"Yes","No"))</f>
        <v/>
      </c>
      <c r="I179" s="15"/>
      <c r="J179" s="15"/>
      <c r="K179" s="15"/>
      <c r="L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6" t="str">
        <f aca="false">IF(OR(D180="",F180=""),"",IF(D180=F180,"Yes","No"))</f>
        <v/>
      </c>
      <c r="I180" s="15"/>
      <c r="J180" s="15"/>
      <c r="K180" s="15"/>
      <c r="L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6" t="str">
        <f aca="false">IF(OR(D181="",F181=""),"",IF(D181=F181,"Yes","No"))</f>
        <v/>
      </c>
      <c r="I181" s="15"/>
      <c r="J181" s="15"/>
      <c r="K181" s="15"/>
      <c r="L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6" t="str">
        <f aca="false">IF(OR(D182="",F182=""),"",IF(D182=F182,"Yes","No"))</f>
        <v/>
      </c>
      <c r="I182" s="15"/>
      <c r="J182" s="15"/>
      <c r="K182" s="15"/>
      <c r="L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6" t="str">
        <f aca="false">IF(OR(D183="",F183=""),"",IF(D183=F183,"Yes","No"))</f>
        <v/>
      </c>
      <c r="I183" s="15"/>
      <c r="J183" s="15"/>
      <c r="K183" s="15"/>
      <c r="L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6" t="str">
        <f aca="false">IF(OR(D184="",F184=""),"",IF(D184=F184,"Yes","No"))</f>
        <v/>
      </c>
      <c r="I184" s="15"/>
      <c r="J184" s="15"/>
      <c r="K184" s="15"/>
      <c r="L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6" t="str">
        <f aca="false">IF(OR(D185="",F185=""),"",IF(D185=F185,"Yes","No"))</f>
        <v/>
      </c>
      <c r="I185" s="15"/>
      <c r="J185" s="15"/>
      <c r="K185" s="15"/>
      <c r="L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6" t="str">
        <f aca="false">IF(OR(D186="",F186=""),"",IF(D186=F186,"Yes","No"))</f>
        <v/>
      </c>
      <c r="I186" s="15"/>
      <c r="J186" s="15"/>
      <c r="K186" s="15"/>
      <c r="L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6" t="str">
        <f aca="false">IF(OR(D187="",F187=""),"",IF(D187=F187,"Yes","No"))</f>
        <v/>
      </c>
      <c r="I187" s="15"/>
      <c r="J187" s="15"/>
      <c r="K187" s="15"/>
      <c r="L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6" t="str">
        <f aca="false">IF(OR(D188="",F188=""),"",IF(D188=F188,"Yes","No"))</f>
        <v/>
      </c>
      <c r="I188" s="15"/>
      <c r="J188" s="15"/>
      <c r="K188" s="15"/>
      <c r="L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6" t="str">
        <f aca="false">IF(OR(D189="",F189=""),"",IF(D189=F189,"Yes","No"))</f>
        <v/>
      </c>
      <c r="I189" s="15"/>
      <c r="J189" s="15"/>
      <c r="K189" s="15"/>
      <c r="L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6" t="str">
        <f aca="false">IF(OR(D190="",F190=""),"",IF(D190=F190,"Yes","No"))</f>
        <v/>
      </c>
      <c r="I190" s="15"/>
      <c r="J190" s="15"/>
      <c r="K190" s="15"/>
      <c r="L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6" t="str">
        <f aca="false">IF(OR(D191="",F191=""),"",IF(D191=F191,"Yes","No"))</f>
        <v/>
      </c>
      <c r="I191" s="15"/>
      <c r="J191" s="15"/>
      <c r="K191" s="15"/>
      <c r="L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6" t="str">
        <f aca="false">IF(OR(D192="",F192=""),"",IF(D192=F192,"Yes","No"))</f>
        <v/>
      </c>
      <c r="I192" s="15"/>
      <c r="J192" s="15"/>
      <c r="K192" s="15"/>
      <c r="L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6" t="str">
        <f aca="false">IF(OR(D193="",F193=""),"",IF(D193=F193,"Yes","No"))</f>
        <v/>
      </c>
      <c r="I193" s="15"/>
      <c r="J193" s="15"/>
      <c r="K193" s="15"/>
      <c r="L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6" t="str">
        <f aca="false">IF(OR(D194="",F194=""),"",IF(D194=F194,"Yes","No"))</f>
        <v/>
      </c>
      <c r="I194" s="15"/>
      <c r="J194" s="15"/>
      <c r="K194" s="15"/>
      <c r="L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6" t="str">
        <f aca="false">IF(OR(D195="",F195=""),"",IF(D195=F195,"Yes","No"))</f>
        <v/>
      </c>
      <c r="I195" s="15"/>
      <c r="J195" s="15"/>
      <c r="K195" s="15"/>
      <c r="L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6" t="str">
        <f aca="false">IF(OR(D196="",F196=""),"",IF(D196=F196,"Yes","No"))</f>
        <v/>
      </c>
      <c r="I196" s="15"/>
      <c r="J196" s="15"/>
      <c r="K196" s="15"/>
      <c r="L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6" t="str">
        <f aca="false">IF(OR(D197="",F197=""),"",IF(D197=F197,"Yes","No"))</f>
        <v/>
      </c>
      <c r="I197" s="15"/>
      <c r="J197" s="15"/>
      <c r="K197" s="15"/>
      <c r="L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6" t="str">
        <f aca="false">IF(OR(D198="",F198=""),"",IF(D198=F198,"Yes","No"))</f>
        <v/>
      </c>
      <c r="I198" s="15"/>
      <c r="J198" s="15"/>
      <c r="K198" s="15"/>
      <c r="L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6" t="str">
        <f aca="false">IF(OR(D199="",F199=""),"",IF(D199=F199,"Yes","No"))</f>
        <v/>
      </c>
      <c r="I199" s="15"/>
      <c r="J199" s="15"/>
      <c r="K199" s="15"/>
      <c r="L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6" t="str">
        <f aca="false">IF(OR(D200="",F200=""),"",IF(D200=F200,"Yes","No"))</f>
        <v/>
      </c>
      <c r="I200" s="15"/>
      <c r="J200" s="15"/>
      <c r="K200" s="15"/>
      <c r="L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6" t="str">
        <f aca="false">IF(OR(D201="",F201=""),"",IF(D201=F201,"Yes","No"))</f>
        <v/>
      </c>
      <c r="I201" s="15"/>
      <c r="J201" s="15"/>
      <c r="K201" s="15"/>
      <c r="L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6" t="str">
        <f aca="false">IF(OR(D202="",F202=""),"",IF(D202=F202,"Yes","No"))</f>
        <v/>
      </c>
      <c r="I202" s="15"/>
      <c r="J202" s="15"/>
      <c r="K202" s="15"/>
      <c r="L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6" t="str">
        <f aca="false">IF(OR(D203="",F203=""),"",IF(D203=F203,"Yes","No"))</f>
        <v/>
      </c>
      <c r="I203" s="15"/>
      <c r="J203" s="15"/>
      <c r="K203" s="15"/>
      <c r="L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6" t="str">
        <f aca="false">IF(OR(D204="",F204=""),"",IF(D204=F204,"Yes","No"))</f>
        <v/>
      </c>
      <c r="I204" s="15"/>
      <c r="J204" s="15"/>
      <c r="K204" s="15"/>
      <c r="L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6" t="str">
        <f aca="false">IF(OR(D205="",F205=""),"",IF(D205=F205,"Yes","No"))</f>
        <v/>
      </c>
      <c r="I205" s="15"/>
      <c r="J205" s="15"/>
      <c r="K205" s="15"/>
      <c r="L205" s="15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5"/>
      <c r="G206" s="15"/>
      <c r="H206" s="16" t="str">
        <f aca="false">IF(OR(D206="",F206=""),"",IF(D206=F206,"Yes","No"))</f>
        <v/>
      </c>
      <c r="I206" s="15"/>
      <c r="J206" s="15"/>
      <c r="K206" s="15"/>
      <c r="L206" s="15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5"/>
      <c r="G207" s="15"/>
      <c r="H207" s="16" t="str">
        <f aca="false">IF(OR(D207="",F207=""),"",IF(D207=F207,"Yes","No"))</f>
        <v/>
      </c>
      <c r="I207" s="15"/>
      <c r="J207" s="15"/>
      <c r="K207" s="15"/>
      <c r="L207" s="15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5"/>
      <c r="G208" s="15"/>
      <c r="H208" s="16" t="str">
        <f aca="false">IF(OR(D208="",F208=""),"",IF(D208=F208,"Yes","No"))</f>
        <v/>
      </c>
      <c r="I208" s="15"/>
      <c r="J208" s="15"/>
      <c r="K208" s="15"/>
      <c r="L208" s="15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5"/>
      <c r="G209" s="15"/>
      <c r="H209" s="16" t="str">
        <f aca="false">IF(OR(D209="",F209=""),"",IF(D209=F209,"Yes","No"))</f>
        <v/>
      </c>
      <c r="I209" s="15"/>
      <c r="J209" s="15"/>
      <c r="K209" s="15"/>
      <c r="L209" s="15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5"/>
      <c r="G210" s="15"/>
      <c r="H210" s="16" t="str">
        <f aca="false">IF(OR(D210="",F210=""),"",IF(D210=F210,"Yes","No"))</f>
        <v/>
      </c>
      <c r="I210" s="15"/>
      <c r="J210" s="15"/>
      <c r="K210" s="15"/>
      <c r="L210" s="15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5"/>
      <c r="G211" s="15"/>
      <c r="H211" s="16" t="str">
        <f aca="false">IF(OR(D211="",F211=""),"",IF(D211=F211,"Yes","No"))</f>
        <v/>
      </c>
      <c r="I211" s="15"/>
      <c r="J211" s="15"/>
      <c r="K211" s="15"/>
      <c r="L211" s="15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5"/>
      <c r="G212" s="15"/>
      <c r="H212" s="16" t="str">
        <f aca="false">IF(OR(D212="",F212=""),"",IF(D212=F212,"Yes","No"))</f>
        <v/>
      </c>
      <c r="I212" s="15"/>
      <c r="J212" s="15"/>
      <c r="K212" s="15"/>
      <c r="L212" s="15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5"/>
      <c r="G213" s="15"/>
      <c r="H213" s="16" t="str">
        <f aca="false">IF(OR(D213="",F213=""),"",IF(D213=F213,"Yes","No"))</f>
        <v/>
      </c>
      <c r="I213" s="15"/>
      <c r="J213" s="15"/>
      <c r="K213" s="15"/>
      <c r="L213" s="15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5"/>
      <c r="G214" s="15"/>
      <c r="H214" s="16" t="str">
        <f aca="false">IF(OR(D214="",F214=""),"",IF(D214=F214,"Yes","No"))</f>
        <v/>
      </c>
      <c r="I214" s="15"/>
      <c r="J214" s="15"/>
      <c r="K214" s="15"/>
      <c r="L214" s="15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5"/>
      <c r="G215" s="15"/>
      <c r="H215" s="16" t="str">
        <f aca="false">IF(OR(D215="",F215=""),"",IF(D215=F215,"Yes","No"))</f>
        <v/>
      </c>
      <c r="I215" s="15"/>
      <c r="J215" s="15"/>
      <c r="K215" s="15"/>
      <c r="L215" s="15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5"/>
      <c r="G216" s="15"/>
      <c r="H216" s="16" t="str">
        <f aca="false">IF(OR(D216="",F216=""),"",IF(D216=F216,"Yes","No"))</f>
        <v/>
      </c>
      <c r="I216" s="15"/>
      <c r="J216" s="15"/>
      <c r="K216" s="15"/>
      <c r="L216" s="15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5"/>
      <c r="G217" s="15"/>
      <c r="H217" s="16" t="str">
        <f aca="false">IF(OR(D217="",F217=""),"",IF(D217=F217,"Yes","No"))</f>
        <v/>
      </c>
      <c r="I217" s="15"/>
      <c r="J217" s="15"/>
      <c r="K217" s="15"/>
      <c r="L217" s="15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5"/>
      <c r="G218" s="15"/>
      <c r="H218" s="16" t="str">
        <f aca="false">IF(OR(D218="",F218=""),"",IF(D218=F218,"Yes","No"))</f>
        <v/>
      </c>
      <c r="I218" s="15"/>
      <c r="J218" s="15"/>
      <c r="K218" s="15"/>
      <c r="L218" s="15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5"/>
      <c r="G219" s="15"/>
      <c r="H219" s="16" t="str">
        <f aca="false">IF(OR(D219="",F219=""),"",IF(D219=F219,"Yes","No"))</f>
        <v/>
      </c>
      <c r="I219" s="15"/>
      <c r="J219" s="15"/>
      <c r="K219" s="15"/>
      <c r="L219" s="15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5"/>
      <c r="G220" s="15"/>
      <c r="H220" s="16" t="str">
        <f aca="false">IF(OR(D220="",F220=""),"",IF(D220=F220,"Yes","No"))</f>
        <v/>
      </c>
      <c r="I220" s="15"/>
      <c r="J220" s="15"/>
      <c r="K220" s="15"/>
      <c r="L220" s="15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5"/>
      <c r="G221" s="15"/>
      <c r="H221" s="16" t="str">
        <f aca="false">IF(OR(D221="",F221=""),"",IF(D221=F221,"Yes","No"))</f>
        <v/>
      </c>
      <c r="I221" s="15"/>
      <c r="J221" s="15"/>
      <c r="K221" s="15"/>
      <c r="L221" s="15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5"/>
      <c r="G222" s="15"/>
      <c r="H222" s="16" t="str">
        <f aca="false">IF(OR(D222="",F222=""),"",IF(D222=F222,"Yes","No"))</f>
        <v/>
      </c>
      <c r="I222" s="15"/>
      <c r="J222" s="15"/>
      <c r="K222" s="15"/>
      <c r="L222" s="15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5"/>
      <c r="G223" s="15"/>
      <c r="H223" s="16" t="str">
        <f aca="false">IF(OR(D223="",F223=""),"",IF(D223=F223,"Yes","No"))</f>
        <v/>
      </c>
      <c r="I223" s="15"/>
      <c r="J223" s="15"/>
      <c r="K223" s="15"/>
      <c r="L223" s="15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5"/>
      <c r="G224" s="15"/>
      <c r="H224" s="16" t="str">
        <f aca="false">IF(OR(D224="",F224=""),"",IF(D224=F224,"Yes","No"))</f>
        <v/>
      </c>
      <c r="I224" s="15"/>
      <c r="J224" s="15"/>
      <c r="K224" s="15"/>
      <c r="L224" s="15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5"/>
      <c r="G225" s="15"/>
      <c r="H225" s="16" t="str">
        <f aca="false">IF(OR(D225="",F225=""),"",IF(D225=F225,"Yes","No"))</f>
        <v/>
      </c>
      <c r="I225" s="15"/>
      <c r="J225" s="15"/>
      <c r="K225" s="15"/>
      <c r="L225" s="15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5"/>
      <c r="G226" s="15"/>
      <c r="H226" s="16" t="str">
        <f aca="false">IF(OR(D226="",F226=""),"",IF(D226=F226,"Yes","No"))</f>
        <v/>
      </c>
      <c r="I226" s="15"/>
      <c r="J226" s="15"/>
      <c r="K226" s="15"/>
      <c r="L226" s="15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5"/>
      <c r="G227" s="15"/>
      <c r="H227" s="16" t="str">
        <f aca="false">IF(OR(D227="",F227=""),"",IF(D227=F227,"Yes","No"))</f>
        <v/>
      </c>
      <c r="I227" s="15"/>
      <c r="J227" s="15"/>
      <c r="K227" s="15"/>
      <c r="L227" s="15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5"/>
      <c r="G228" s="15"/>
      <c r="H228" s="16" t="str">
        <f aca="false">IF(OR(D228="",F228=""),"",IF(D228=F228,"Yes","No"))</f>
        <v/>
      </c>
      <c r="I228" s="15"/>
      <c r="J228" s="15"/>
      <c r="K228" s="15"/>
      <c r="L228" s="15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5"/>
      <c r="G229" s="15"/>
      <c r="H229" s="16" t="str">
        <f aca="false">IF(OR(D229="",F229=""),"",IF(D229=F229,"Yes","No"))</f>
        <v/>
      </c>
      <c r="I229" s="15"/>
      <c r="J229" s="15"/>
      <c r="K229" s="15"/>
      <c r="L229" s="15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5"/>
      <c r="G230" s="15"/>
      <c r="H230" s="16" t="str">
        <f aca="false">IF(OR(D230="",F230=""),"",IF(D230=F230,"Yes","No"))</f>
        <v/>
      </c>
      <c r="I230" s="15"/>
      <c r="J230" s="15"/>
      <c r="K230" s="15"/>
      <c r="L230" s="15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5"/>
      <c r="G231" s="15"/>
      <c r="H231" s="16" t="str">
        <f aca="false">IF(OR(D231="",F231=""),"",IF(D231=F231,"Yes","No"))</f>
        <v/>
      </c>
      <c r="I231" s="15"/>
      <c r="J231" s="15"/>
      <c r="K231" s="15"/>
      <c r="L231" s="15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5"/>
      <c r="G232" s="15"/>
      <c r="H232" s="16" t="str">
        <f aca="false">IF(OR(D232="",F232=""),"",IF(D232=F232,"Yes","No"))</f>
        <v/>
      </c>
      <c r="I232" s="15"/>
      <c r="J232" s="15"/>
      <c r="K232" s="15"/>
      <c r="L232" s="15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5"/>
      <c r="G233" s="15"/>
      <c r="H233" s="16" t="str">
        <f aca="false">IF(OR(D233="",F233=""),"",IF(D233=F233,"Yes","No"))</f>
        <v/>
      </c>
      <c r="I233" s="15"/>
      <c r="J233" s="15"/>
      <c r="K233" s="15"/>
      <c r="L233" s="15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5"/>
      <c r="G234" s="15"/>
      <c r="H234" s="16" t="str">
        <f aca="false">IF(OR(D234="",F234=""),"",IF(D234=F234,"Yes","No"))</f>
        <v/>
      </c>
      <c r="I234" s="15"/>
      <c r="J234" s="15"/>
      <c r="K234" s="15"/>
      <c r="L234" s="15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6" t="str">
        <f aca="false">IF(OR(D235="",F235=""),"",IF(D235=F235,"Yes","No"))</f>
        <v/>
      </c>
      <c r="I235" s="15"/>
      <c r="J235" s="15"/>
      <c r="K235" s="15"/>
      <c r="L235" s="15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5"/>
      <c r="G236" s="15"/>
      <c r="H236" s="16" t="str">
        <f aca="false">IF(OR(D236="",F236=""),"",IF(D236=F236,"Yes","No"))</f>
        <v/>
      </c>
      <c r="I236" s="15"/>
      <c r="J236" s="15"/>
      <c r="K236" s="15"/>
      <c r="L236" s="15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5"/>
      <c r="G237" s="15"/>
      <c r="H237" s="16" t="str">
        <f aca="false">IF(OR(D237="",F237=""),"",IF(D237=F237,"Yes","No"))</f>
        <v/>
      </c>
      <c r="I237" s="15"/>
      <c r="J237" s="15"/>
      <c r="K237" s="15"/>
      <c r="L237" s="15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5"/>
      <c r="G238" s="15"/>
      <c r="H238" s="16" t="str">
        <f aca="false">IF(OR(D238="",F238=""),"",IF(D238=F238,"Yes","No"))</f>
        <v/>
      </c>
      <c r="I238" s="15"/>
      <c r="J238" s="15"/>
      <c r="K238" s="15"/>
      <c r="L238" s="15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5"/>
      <c r="G239" s="15"/>
      <c r="H239" s="16" t="str">
        <f aca="false">IF(OR(D239="",F239=""),"",IF(D239=F239,"Yes","No"))</f>
        <v/>
      </c>
      <c r="I239" s="15"/>
      <c r="J239" s="15"/>
      <c r="K239" s="15"/>
      <c r="L239" s="15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5"/>
      <c r="G240" s="15"/>
      <c r="H240" s="16" t="str">
        <f aca="false">IF(OR(D240="",F240=""),"",IF(D240=F240,"Yes","No"))</f>
        <v/>
      </c>
      <c r="I240" s="15"/>
      <c r="J240" s="15"/>
      <c r="K240" s="15"/>
      <c r="L240" s="15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5"/>
      <c r="G241" s="15"/>
      <c r="H241" s="16" t="str">
        <f aca="false">IF(OR(D241="",F241=""),"",IF(D241=F241,"Yes","No"))</f>
        <v/>
      </c>
      <c r="I241" s="15"/>
      <c r="J241" s="15"/>
      <c r="K241" s="15"/>
      <c r="L241" s="15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5"/>
      <c r="G242" s="15"/>
      <c r="H242" s="16" t="str">
        <f aca="false">IF(OR(D242="",F242=""),"",IF(D242=F242,"Yes","No"))</f>
        <v/>
      </c>
      <c r="I242" s="15"/>
      <c r="J242" s="15"/>
      <c r="K242" s="15"/>
      <c r="L242" s="15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5"/>
      <c r="G243" s="15"/>
      <c r="H243" s="16" t="str">
        <f aca="false">IF(OR(D243="",F243=""),"",IF(D243=F243,"Yes","No"))</f>
        <v/>
      </c>
      <c r="I243" s="15"/>
      <c r="J243" s="15"/>
      <c r="K243" s="15"/>
      <c r="L243" s="15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5"/>
      <c r="G244" s="15"/>
      <c r="H244" s="16" t="str">
        <f aca="false">IF(OR(D244="",F244=""),"",IF(D244=F244,"Yes","No"))</f>
        <v/>
      </c>
      <c r="I244" s="15"/>
      <c r="J244" s="15"/>
      <c r="K244" s="15"/>
      <c r="L244" s="15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5"/>
      <c r="G245" s="15"/>
      <c r="H245" s="16" t="str">
        <f aca="false">IF(OR(D245="",F245=""),"",IF(D245=F245,"Yes","No"))</f>
        <v/>
      </c>
      <c r="I245" s="15"/>
      <c r="J245" s="15"/>
      <c r="K245" s="15"/>
      <c r="L245" s="15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5"/>
      <c r="G246" s="15"/>
      <c r="H246" s="16" t="str">
        <f aca="false">IF(OR(D246="",F246=""),"",IF(D246=F246,"Yes","No"))</f>
        <v/>
      </c>
      <c r="I246" s="15"/>
      <c r="J246" s="15"/>
      <c r="K246" s="15"/>
      <c r="L246" s="15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5"/>
      <c r="G247" s="15"/>
      <c r="H247" s="16" t="str">
        <f aca="false">IF(OR(D247="",F247=""),"",IF(D247=F247,"Yes","No"))</f>
        <v/>
      </c>
      <c r="I247" s="15"/>
      <c r="J247" s="15"/>
      <c r="K247" s="15"/>
      <c r="L247" s="15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5"/>
      <c r="G248" s="15"/>
      <c r="H248" s="16" t="str">
        <f aca="false">IF(OR(D248="",F248=""),"",IF(D248=F248,"Yes","No"))</f>
        <v/>
      </c>
      <c r="I248" s="15"/>
      <c r="J248" s="15"/>
      <c r="K248" s="15"/>
      <c r="L248" s="15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5"/>
      <c r="G249" s="15"/>
      <c r="H249" s="16" t="str">
        <f aca="false">IF(OR(D249="",F249=""),"",IF(D249=F249,"Yes","No"))</f>
        <v/>
      </c>
      <c r="I249" s="15"/>
      <c r="J249" s="15"/>
      <c r="K249" s="15"/>
      <c r="L249" s="15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5"/>
      <c r="G250" s="15"/>
      <c r="H250" s="16" t="str">
        <f aca="false">IF(OR(D250="",F250=""),"",IF(D250=F250,"Yes","No"))</f>
        <v/>
      </c>
      <c r="I250" s="15"/>
      <c r="J250" s="15"/>
      <c r="K250" s="15"/>
      <c r="L250" s="15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5"/>
      <c r="G251" s="15"/>
      <c r="H251" s="16" t="str">
        <f aca="false">IF(OR(D251="",F251=""),"",IF(D251=F251,"Yes","No"))</f>
        <v/>
      </c>
      <c r="I251" s="15"/>
      <c r="J251" s="15"/>
      <c r="K251" s="15"/>
      <c r="L251" s="15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5"/>
      <c r="G252" s="15"/>
      <c r="H252" s="16" t="str">
        <f aca="false">IF(OR(D252="",F252=""),"",IF(D252=F252,"Yes","No"))</f>
        <v/>
      </c>
      <c r="I252" s="15"/>
      <c r="J252" s="15"/>
      <c r="K252" s="15"/>
      <c r="L252" s="15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5"/>
      <c r="G253" s="15"/>
      <c r="H253" s="16" t="str">
        <f aca="false">IF(OR(D253="",F253=""),"",IF(D253=F253,"Yes","No"))</f>
        <v/>
      </c>
      <c r="I253" s="15"/>
      <c r="J253" s="15"/>
      <c r="K253" s="15"/>
      <c r="L253" s="15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5"/>
      <c r="G254" s="15"/>
      <c r="H254" s="16" t="str">
        <f aca="false">IF(OR(D254="",F254=""),"",IF(D254=F254,"Yes","No"))</f>
        <v/>
      </c>
      <c r="I254" s="15"/>
      <c r="J254" s="15"/>
      <c r="K254" s="15"/>
      <c r="L254" s="15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5"/>
      <c r="G255" s="15"/>
      <c r="H255" s="16" t="str">
        <f aca="false">IF(OR(D255="",F255=""),"",IF(D255=F255,"Yes","No"))</f>
        <v/>
      </c>
      <c r="I255" s="15"/>
      <c r="J255" s="15"/>
      <c r="K255" s="15"/>
      <c r="L255" s="15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5"/>
      <c r="G256" s="15"/>
      <c r="H256" s="16" t="str">
        <f aca="false">IF(OR(D256="",F256=""),"",IF(D256=F256,"Yes","No"))</f>
        <v/>
      </c>
      <c r="I256" s="15"/>
      <c r="J256" s="15"/>
      <c r="K256" s="15"/>
      <c r="L256" s="15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5"/>
      <c r="G257" s="15"/>
      <c r="H257" s="16" t="str">
        <f aca="false">IF(OR(D257="",F257=""),"",IF(D257=F257,"Yes","No"))</f>
        <v/>
      </c>
      <c r="I257" s="15"/>
      <c r="J257" s="15"/>
      <c r="K257" s="15"/>
      <c r="L257" s="15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5"/>
      <c r="G258" s="15"/>
      <c r="H258" s="16" t="str">
        <f aca="false">IF(OR(D258="",F258=""),"",IF(D258=F258,"Yes","No"))</f>
        <v/>
      </c>
      <c r="I258" s="15"/>
      <c r="J258" s="15"/>
      <c r="K258" s="15"/>
      <c r="L258" s="15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5"/>
      <c r="G259" s="15"/>
      <c r="H259" s="16" t="str">
        <f aca="false">IF(OR(D259="",F259=""),"",IF(D259=F259,"Yes","No"))</f>
        <v/>
      </c>
      <c r="I259" s="15"/>
      <c r="J259" s="15"/>
      <c r="K259" s="15"/>
      <c r="L259" s="15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5"/>
      <c r="G260" s="15"/>
      <c r="H260" s="16" t="str">
        <f aca="false">IF(OR(D260="",F260=""),"",IF(D260=F260,"Yes","No"))</f>
        <v/>
      </c>
      <c r="I260" s="15"/>
      <c r="J260" s="15"/>
      <c r="K260" s="15"/>
      <c r="L260" s="15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5"/>
      <c r="G261" s="15"/>
      <c r="H261" s="16" t="str">
        <f aca="false">IF(OR(D261="",F261=""),"",IF(D261=F261,"Yes","No"))</f>
        <v/>
      </c>
      <c r="I261" s="15"/>
      <c r="J261" s="15"/>
      <c r="K261" s="15"/>
      <c r="L261" s="15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5"/>
      <c r="G262" s="15"/>
      <c r="H262" s="16" t="str">
        <f aca="false">IF(OR(D262="",F262=""),"",IF(D262=F262,"Yes","No"))</f>
        <v/>
      </c>
      <c r="I262" s="15"/>
      <c r="J262" s="15"/>
      <c r="K262" s="15"/>
      <c r="L262" s="15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5"/>
      <c r="G263" s="15"/>
      <c r="H263" s="16" t="str">
        <f aca="false">IF(OR(D263="",F263=""),"",IF(D263=F263,"Yes","No"))</f>
        <v/>
      </c>
      <c r="I263" s="15"/>
      <c r="J263" s="15"/>
      <c r="K263" s="15"/>
      <c r="L263" s="15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5"/>
      <c r="G264" s="15"/>
      <c r="H264" s="16" t="str">
        <f aca="false">IF(OR(D264="",F264=""),"",IF(D264=F264,"Yes","No"))</f>
        <v/>
      </c>
      <c r="I264" s="15"/>
      <c r="J264" s="15"/>
      <c r="K264" s="15"/>
      <c r="L264" s="15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5"/>
      <c r="G265" s="15"/>
      <c r="H265" s="16" t="str">
        <f aca="false">IF(OR(D265="",F265=""),"",IF(D265=F265,"Yes","No"))</f>
        <v/>
      </c>
      <c r="I265" s="15"/>
      <c r="J265" s="15"/>
      <c r="K265" s="15"/>
      <c r="L265" s="15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5"/>
      <c r="G266" s="15"/>
      <c r="H266" s="16" t="str">
        <f aca="false">IF(OR(D266="",F266=""),"",IF(D266=F266,"Yes","No"))</f>
        <v/>
      </c>
      <c r="I266" s="15"/>
      <c r="J266" s="15"/>
      <c r="K266" s="15"/>
      <c r="L266" s="15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5"/>
      <c r="G267" s="15"/>
      <c r="H267" s="16" t="str">
        <f aca="false">IF(OR(D267="",F267=""),"",IF(D267=F267,"Yes","No"))</f>
        <v/>
      </c>
      <c r="I267" s="15"/>
      <c r="J267" s="15"/>
      <c r="K267" s="15"/>
      <c r="L267" s="15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5"/>
      <c r="G268" s="15"/>
      <c r="H268" s="16" t="str">
        <f aca="false">IF(OR(D268="",F268=""),"",IF(D268=F268,"Yes","No"))</f>
        <v/>
      </c>
      <c r="I268" s="15"/>
      <c r="J268" s="15"/>
      <c r="K268" s="15"/>
      <c r="L268" s="15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5"/>
      <c r="G269" s="15"/>
      <c r="H269" s="16" t="str">
        <f aca="false">IF(OR(D269="",F269=""),"",IF(D269=F269,"Yes","No"))</f>
        <v/>
      </c>
      <c r="I269" s="15"/>
      <c r="J269" s="15"/>
      <c r="K269" s="15"/>
      <c r="L269" s="15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5"/>
      <c r="G270" s="15"/>
      <c r="H270" s="16" t="str">
        <f aca="false">IF(OR(D270="",F270=""),"",IF(D270=F270,"Yes","No"))</f>
        <v/>
      </c>
      <c r="I270" s="15"/>
      <c r="J270" s="15"/>
      <c r="K270" s="15"/>
      <c r="L270" s="15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5"/>
      <c r="G271" s="15"/>
      <c r="H271" s="16" t="str">
        <f aca="false">IF(OR(D271="",F271=""),"",IF(D271=F271,"Yes","No"))</f>
        <v/>
      </c>
      <c r="I271" s="15"/>
      <c r="J271" s="15"/>
      <c r="K271" s="15"/>
      <c r="L271" s="15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5"/>
      <c r="G272" s="15"/>
      <c r="H272" s="16" t="str">
        <f aca="false">IF(OR(D272="",F272=""),"",IF(D272=F272,"Yes","No"))</f>
        <v/>
      </c>
      <c r="I272" s="15"/>
      <c r="J272" s="15"/>
      <c r="K272" s="15"/>
      <c r="L272" s="15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6" t="str">
        <f aca="false">IF(OR(D273="",F273=""),"",IF(D273=F273,"Yes","No"))</f>
        <v/>
      </c>
      <c r="I273" s="15"/>
      <c r="J273" s="15"/>
      <c r="K273" s="15"/>
      <c r="L273" s="15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6" t="str">
        <f aca="false">IF(OR(D274="",F274=""),"",IF(D274=F274,"Yes","No"))</f>
        <v/>
      </c>
      <c r="I274" s="15"/>
      <c r="J274" s="15"/>
      <c r="K274" s="15"/>
      <c r="L274" s="15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5"/>
      <c r="G275" s="15"/>
      <c r="H275" s="16" t="str">
        <f aca="false">IF(OR(D275="",F275=""),"",IF(D275=F275,"Yes","No"))</f>
        <v/>
      </c>
      <c r="I275" s="15"/>
      <c r="J275" s="15"/>
      <c r="K275" s="15"/>
      <c r="L275" s="15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5"/>
      <c r="G276" s="15"/>
      <c r="H276" s="16" t="str">
        <f aca="false">IF(OR(D276="",F276=""),"",IF(D276=F276,"Yes","No"))</f>
        <v/>
      </c>
      <c r="I276" s="15"/>
      <c r="J276" s="15"/>
      <c r="K276" s="15"/>
      <c r="L276" s="15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5"/>
      <c r="G277" s="15"/>
      <c r="H277" s="16" t="str">
        <f aca="false">IF(OR(D277="",F277=""),"",IF(D277=F277,"Yes","No"))</f>
        <v/>
      </c>
      <c r="I277" s="15"/>
      <c r="J277" s="15"/>
      <c r="K277" s="15"/>
      <c r="L277" s="15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5"/>
      <c r="G278" s="15"/>
      <c r="H278" s="16" t="str">
        <f aca="false">IF(OR(D278="",F278=""),"",IF(D278=F278,"Yes","No"))</f>
        <v/>
      </c>
      <c r="I278" s="15"/>
      <c r="J278" s="15"/>
      <c r="K278" s="15"/>
      <c r="L278" s="15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5"/>
      <c r="G279" s="15"/>
      <c r="H279" s="16" t="str">
        <f aca="false">IF(OR(D279="",F279=""),"",IF(D279=F279,"Yes","No"))</f>
        <v/>
      </c>
      <c r="I279" s="15"/>
      <c r="J279" s="15"/>
      <c r="K279" s="15"/>
      <c r="L279" s="15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5"/>
      <c r="G280" s="15"/>
      <c r="H280" s="16" t="str">
        <f aca="false">IF(OR(D280="",F280=""),"",IF(D280=F280,"Yes","No"))</f>
        <v/>
      </c>
      <c r="I280" s="15"/>
      <c r="J280" s="15"/>
      <c r="K280" s="15"/>
      <c r="L280" s="15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5"/>
      <c r="G281" s="15"/>
      <c r="H281" s="16" t="str">
        <f aca="false">IF(OR(D281="",F281=""),"",IF(D281=F281,"Yes","No"))</f>
        <v/>
      </c>
      <c r="I281" s="15"/>
      <c r="J281" s="15"/>
      <c r="K281" s="15"/>
      <c r="L281" s="15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5"/>
      <c r="G282" s="15"/>
      <c r="H282" s="16" t="str">
        <f aca="false">IF(OR(D282="",F282=""),"",IF(D282=F282,"Yes","No"))</f>
        <v/>
      </c>
      <c r="I282" s="15"/>
      <c r="J282" s="15"/>
      <c r="K282" s="15"/>
      <c r="L282" s="15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5"/>
      <c r="G283" s="15"/>
      <c r="H283" s="16" t="str">
        <f aca="false">IF(OR(D283="",F283=""),"",IF(D283=F283,"Yes","No"))</f>
        <v/>
      </c>
      <c r="I283" s="15"/>
      <c r="J283" s="15"/>
      <c r="K283" s="15"/>
      <c r="L283" s="15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5"/>
      <c r="G284" s="15"/>
      <c r="H284" s="16" t="str">
        <f aca="false">IF(OR(D284="",F284=""),"",IF(D284=F284,"Yes","No"))</f>
        <v/>
      </c>
      <c r="I284" s="15"/>
      <c r="J284" s="15"/>
      <c r="K284" s="15"/>
      <c r="L284" s="15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5"/>
      <c r="G285" s="15"/>
      <c r="H285" s="16" t="str">
        <f aca="false">IF(OR(D285="",F285=""),"",IF(D285=F285,"Yes","No"))</f>
        <v/>
      </c>
      <c r="I285" s="15"/>
      <c r="J285" s="15"/>
      <c r="K285" s="15"/>
      <c r="L285" s="15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5"/>
      <c r="G286" s="15"/>
      <c r="H286" s="16" t="str">
        <f aca="false">IF(OR(D286="",F286=""),"",IF(D286=F286,"Yes","No"))</f>
        <v/>
      </c>
      <c r="I286" s="15"/>
      <c r="J286" s="15"/>
      <c r="K286" s="15"/>
      <c r="L286" s="15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5"/>
      <c r="G287" s="15"/>
      <c r="H287" s="16" t="str">
        <f aca="false">IF(OR(D287="",F287=""),"",IF(D287=F287,"Yes","No"))</f>
        <v/>
      </c>
      <c r="I287" s="15"/>
      <c r="J287" s="15"/>
      <c r="K287" s="15"/>
      <c r="L287" s="15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5"/>
      <c r="G288" s="15"/>
      <c r="H288" s="16" t="str">
        <f aca="false">IF(OR(D288="",F288=""),"",IF(D288=F288,"Yes","No"))</f>
        <v/>
      </c>
      <c r="I288" s="15"/>
      <c r="J288" s="15"/>
      <c r="K288" s="15"/>
      <c r="L288" s="15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5"/>
      <c r="G289" s="15"/>
      <c r="H289" s="16" t="str">
        <f aca="false">IF(OR(D289="",F289=""),"",IF(D289=F289,"Yes","No"))</f>
        <v/>
      </c>
      <c r="I289" s="15"/>
      <c r="J289" s="15"/>
      <c r="K289" s="15"/>
      <c r="L289" s="15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5"/>
      <c r="G290" s="15"/>
      <c r="H290" s="16" t="str">
        <f aca="false">IF(OR(D290="",F290=""),"",IF(D290=F290,"Yes","No"))</f>
        <v/>
      </c>
      <c r="I290" s="15"/>
      <c r="J290" s="15"/>
      <c r="K290" s="15"/>
      <c r="L290" s="15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5"/>
      <c r="G291" s="15"/>
      <c r="H291" s="16" t="str">
        <f aca="false">IF(OR(D291="",F291=""),"",IF(D291=F291,"Yes","No"))</f>
        <v/>
      </c>
      <c r="I291" s="15"/>
      <c r="J291" s="15"/>
      <c r="K291" s="15"/>
      <c r="L291" s="15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5"/>
      <c r="G292" s="15"/>
      <c r="H292" s="16" t="str">
        <f aca="false">IF(OR(D292="",F292=""),"",IF(D292=F292,"Yes","No"))</f>
        <v/>
      </c>
      <c r="I292" s="15"/>
      <c r="J292" s="15"/>
      <c r="K292" s="15"/>
      <c r="L292" s="15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5"/>
      <c r="G293" s="15"/>
      <c r="H293" s="16" t="str">
        <f aca="false">IF(OR(D293="",F293=""),"",IF(D293=F293,"Yes","No"))</f>
        <v/>
      </c>
      <c r="I293" s="15"/>
      <c r="J293" s="15"/>
      <c r="K293" s="15"/>
      <c r="L293" s="15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5"/>
      <c r="G294" s="15"/>
      <c r="H294" s="16" t="str">
        <f aca="false">IF(OR(D294="",F294=""),"",IF(D294=F294,"Yes","No"))</f>
        <v/>
      </c>
      <c r="I294" s="15"/>
      <c r="J294" s="15"/>
      <c r="K294" s="15"/>
      <c r="L294" s="15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5"/>
      <c r="G295" s="15"/>
      <c r="H295" s="16" t="str">
        <f aca="false">IF(OR(D295="",F295=""),"",IF(D295=F295,"Yes","No"))</f>
        <v/>
      </c>
      <c r="I295" s="15"/>
      <c r="J295" s="15"/>
      <c r="K295" s="15"/>
      <c r="L295" s="15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5"/>
      <c r="G296" s="15"/>
      <c r="H296" s="16" t="str">
        <f aca="false">IF(OR(D296="",F296=""),"",IF(D296=F296,"Yes","No"))</f>
        <v/>
      </c>
      <c r="I296" s="15"/>
      <c r="J296" s="15"/>
      <c r="K296" s="15"/>
      <c r="L296" s="15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5"/>
      <c r="G297" s="15"/>
      <c r="H297" s="16" t="str">
        <f aca="false">IF(OR(D297="",F297=""),"",IF(D297=F297,"Yes","No"))</f>
        <v/>
      </c>
      <c r="I297" s="15"/>
      <c r="J297" s="15"/>
      <c r="K297" s="15"/>
      <c r="L297" s="15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5"/>
      <c r="G298" s="15"/>
      <c r="H298" s="16" t="str">
        <f aca="false">IF(OR(D298="",F298=""),"",IF(D298=F298,"Yes","No"))</f>
        <v/>
      </c>
      <c r="I298" s="15"/>
      <c r="J298" s="15"/>
      <c r="K298" s="15"/>
      <c r="L298" s="15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5"/>
      <c r="G299" s="15"/>
      <c r="H299" s="16" t="str">
        <f aca="false">IF(OR(D299="",F299=""),"",IF(D299=F299,"Yes","No"))</f>
        <v/>
      </c>
      <c r="I299" s="15"/>
      <c r="J299" s="15"/>
      <c r="K299" s="15"/>
      <c r="L299" s="15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5"/>
      <c r="G300" s="15"/>
      <c r="H300" s="16" t="str">
        <f aca="false">IF(OR(D300="",F300=""),"",IF(D300=F300,"Yes","No"))</f>
        <v/>
      </c>
      <c r="I300" s="15"/>
      <c r="J300" s="15"/>
      <c r="K300" s="15"/>
      <c r="L300" s="15"/>
    </row>
    <row r="301" customFormat="false" ht="15" hidden="false" customHeight="false" outlineLevel="0" collapsed="false">
      <c r="A301" s="15"/>
      <c r="B301" s="15"/>
      <c r="C301" s="15"/>
      <c r="D301" s="15"/>
      <c r="E301" s="15"/>
      <c r="F301" s="15"/>
      <c r="G301" s="15"/>
      <c r="H301" s="16" t="str">
        <f aca="false">IF(OR(D301="",F301=""),"",IF(D301=F301,"Yes","No"))</f>
        <v/>
      </c>
      <c r="I301" s="15"/>
      <c r="J301" s="15"/>
      <c r="K301" s="15"/>
      <c r="L301" s="15"/>
    </row>
    <row r="302" customFormat="false" ht="15" hidden="false" customHeight="false" outlineLevel="0" collapsed="false">
      <c r="A302" s="15"/>
      <c r="B302" s="15"/>
      <c r="C302" s="15"/>
      <c r="D302" s="15"/>
      <c r="E302" s="15"/>
      <c r="F302" s="15"/>
      <c r="G302" s="15"/>
      <c r="H302" s="16" t="str">
        <f aca="false">IF(OR(D302="",F302=""),"",IF(D302=F302,"Yes","No"))</f>
        <v/>
      </c>
      <c r="I302" s="15"/>
      <c r="J302" s="15"/>
      <c r="K302" s="15"/>
      <c r="L302" s="15"/>
    </row>
    <row r="303" customFormat="false" ht="15" hidden="false" customHeight="false" outlineLevel="0" collapsed="false">
      <c r="A303" s="15"/>
      <c r="B303" s="15"/>
      <c r="C303" s="15"/>
      <c r="D303" s="15"/>
      <c r="E303" s="15"/>
      <c r="F303" s="15"/>
      <c r="G303" s="15"/>
      <c r="H303" s="16" t="str">
        <f aca="false">IF(OR(D303="",F303=""),"",IF(D303=F303,"Yes","No"))</f>
        <v/>
      </c>
      <c r="I303" s="15"/>
      <c r="J303" s="15"/>
      <c r="K303" s="15"/>
      <c r="L303" s="15"/>
    </row>
    <row r="304" customFormat="false" ht="15" hidden="false" customHeight="false" outlineLevel="0" collapsed="false">
      <c r="A304" s="15"/>
      <c r="B304" s="15"/>
      <c r="C304" s="15"/>
      <c r="D304" s="15"/>
      <c r="E304" s="15"/>
      <c r="F304" s="15"/>
      <c r="G304" s="15"/>
      <c r="H304" s="16" t="str">
        <f aca="false">IF(OR(D304="",F304=""),"",IF(D304=F304,"Yes","No"))</f>
        <v/>
      </c>
      <c r="I304" s="15"/>
      <c r="J304" s="15"/>
      <c r="K304" s="15"/>
      <c r="L304" s="15"/>
    </row>
    <row r="305" customFormat="false" ht="15" hidden="false" customHeight="false" outlineLevel="0" collapsed="false">
      <c r="A305" s="15"/>
      <c r="B305" s="15"/>
      <c r="C305" s="15"/>
      <c r="D305" s="15"/>
      <c r="E305" s="15"/>
      <c r="F305" s="15"/>
      <c r="G305" s="15"/>
      <c r="H305" s="16" t="str">
        <f aca="false">IF(OR(D305="",F305=""),"",IF(D305=F305,"Yes","No"))</f>
        <v/>
      </c>
      <c r="I305" s="15"/>
      <c r="J305" s="15"/>
      <c r="K305" s="15"/>
      <c r="L305" s="15"/>
    </row>
    <row r="306" customFormat="false" ht="15" hidden="false" customHeight="false" outlineLevel="0" collapsed="false">
      <c r="A306" s="15"/>
      <c r="B306" s="15"/>
      <c r="C306" s="15"/>
      <c r="D306" s="15"/>
      <c r="E306" s="15"/>
      <c r="F306" s="15"/>
      <c r="G306" s="15"/>
      <c r="H306" s="16" t="str">
        <f aca="false">IF(OR(D306="",F306=""),"",IF(D306=F306,"Yes","No"))</f>
        <v/>
      </c>
      <c r="I306" s="15"/>
      <c r="J306" s="15"/>
      <c r="K306" s="15"/>
      <c r="L306" s="15"/>
    </row>
    <row r="307" customFormat="false" ht="15" hidden="false" customHeight="false" outlineLevel="0" collapsed="false">
      <c r="A307" s="15"/>
      <c r="B307" s="15"/>
      <c r="C307" s="15"/>
      <c r="D307" s="15"/>
      <c r="E307" s="15"/>
      <c r="F307" s="15"/>
      <c r="G307" s="15"/>
      <c r="H307" s="16" t="str">
        <f aca="false">IF(OR(D307="",F307=""),"",IF(D307=F307,"Yes","No"))</f>
        <v/>
      </c>
      <c r="I307" s="15"/>
      <c r="J307" s="15"/>
      <c r="K307" s="15"/>
      <c r="L307" s="15"/>
    </row>
    <row r="308" customFormat="false" ht="15" hidden="false" customHeight="false" outlineLevel="0" collapsed="false">
      <c r="A308" s="15"/>
      <c r="B308" s="15"/>
      <c r="C308" s="15"/>
      <c r="D308" s="15"/>
      <c r="E308" s="15"/>
      <c r="F308" s="15"/>
      <c r="G308" s="15"/>
      <c r="H308" s="16" t="str">
        <f aca="false">IF(OR(D308="",F308=""),"",IF(D308=F308,"Yes","No"))</f>
        <v/>
      </c>
      <c r="I308" s="15"/>
      <c r="J308" s="15"/>
      <c r="K308" s="15"/>
      <c r="L308" s="15"/>
    </row>
    <row r="309" customFormat="false" ht="15" hidden="false" customHeight="false" outlineLevel="0" collapsed="false">
      <c r="A309" s="15"/>
      <c r="B309" s="15"/>
      <c r="C309" s="15"/>
      <c r="D309" s="15"/>
      <c r="E309" s="15"/>
      <c r="F309" s="15"/>
      <c r="G309" s="15"/>
      <c r="H309" s="16" t="str">
        <f aca="false">IF(OR(D309="",F309=""),"",IF(D309=F309,"Yes","No"))</f>
        <v/>
      </c>
      <c r="I309" s="15"/>
      <c r="J309" s="15"/>
      <c r="K309" s="15"/>
      <c r="L309" s="15"/>
    </row>
    <row r="310" customFormat="false" ht="15" hidden="false" customHeight="false" outlineLevel="0" collapsed="false">
      <c r="A310" s="15"/>
      <c r="B310" s="15"/>
      <c r="C310" s="15"/>
      <c r="D310" s="15"/>
      <c r="E310" s="15"/>
      <c r="F310" s="15"/>
      <c r="G310" s="15"/>
      <c r="H310" s="16" t="str">
        <f aca="false">IF(OR(D310="",F310=""),"",IF(D310=F310,"Yes","No"))</f>
        <v/>
      </c>
      <c r="I310" s="15"/>
      <c r="J310" s="15"/>
      <c r="K310" s="15"/>
      <c r="L310" s="15"/>
    </row>
    <row r="311" customFormat="false" ht="15" hidden="false" customHeight="false" outlineLevel="0" collapsed="false">
      <c r="A311" s="15"/>
      <c r="B311" s="15"/>
      <c r="C311" s="15"/>
      <c r="D311" s="15"/>
      <c r="E311" s="15"/>
      <c r="F311" s="15"/>
      <c r="G311" s="15"/>
      <c r="H311" s="16" t="str">
        <f aca="false">IF(OR(D311="",F311=""),"",IF(D311=F311,"Yes","No"))</f>
        <v/>
      </c>
      <c r="I311" s="15"/>
      <c r="J311" s="15"/>
      <c r="K311" s="15"/>
      <c r="L311" s="15"/>
    </row>
    <row r="312" customFormat="false" ht="15" hidden="false" customHeight="false" outlineLevel="0" collapsed="false">
      <c r="A312" s="15"/>
      <c r="B312" s="15"/>
      <c r="C312" s="15"/>
      <c r="D312" s="15"/>
      <c r="E312" s="15"/>
      <c r="F312" s="15"/>
      <c r="G312" s="15"/>
      <c r="H312" s="16" t="str">
        <f aca="false">IF(OR(D312="",F312=""),"",IF(D312=F312,"Yes","No"))</f>
        <v/>
      </c>
      <c r="I312" s="15"/>
      <c r="J312" s="15"/>
      <c r="K312" s="15"/>
      <c r="L312" s="15"/>
    </row>
    <row r="313" customFormat="false" ht="15" hidden="false" customHeight="false" outlineLevel="0" collapsed="false">
      <c r="A313" s="15"/>
      <c r="B313" s="15"/>
      <c r="C313" s="15"/>
      <c r="D313" s="15"/>
      <c r="E313" s="15"/>
      <c r="F313" s="15"/>
      <c r="G313" s="15"/>
      <c r="H313" s="16" t="str">
        <f aca="false">IF(OR(D313="",F313=""),"",IF(D313=F313,"Yes","No"))</f>
        <v/>
      </c>
      <c r="I313" s="15"/>
      <c r="J313" s="15"/>
      <c r="K313" s="15"/>
      <c r="L313" s="15"/>
    </row>
    <row r="314" customFormat="false" ht="15" hidden="false" customHeight="false" outlineLevel="0" collapsed="false">
      <c r="A314" s="15"/>
      <c r="B314" s="15"/>
      <c r="C314" s="15"/>
      <c r="D314" s="15"/>
      <c r="E314" s="15"/>
      <c r="F314" s="15"/>
      <c r="G314" s="15"/>
      <c r="H314" s="16" t="str">
        <f aca="false">IF(OR(D314="",F314=""),"",IF(D314=F314,"Yes","No"))</f>
        <v/>
      </c>
      <c r="I314" s="15"/>
      <c r="J314" s="15"/>
      <c r="K314" s="15"/>
      <c r="L314" s="15"/>
    </row>
    <row r="315" customFormat="false" ht="15" hidden="false" customHeight="false" outlineLevel="0" collapsed="false">
      <c r="A315" s="15"/>
      <c r="B315" s="15"/>
      <c r="C315" s="15"/>
      <c r="D315" s="15"/>
      <c r="E315" s="15"/>
      <c r="F315" s="15"/>
      <c r="G315" s="15"/>
      <c r="H315" s="16" t="str">
        <f aca="false">IF(OR(D315="",F315=""),"",IF(D315=F315,"Yes","No"))</f>
        <v/>
      </c>
      <c r="I315" s="15"/>
      <c r="J315" s="15"/>
      <c r="K315" s="15"/>
      <c r="L315" s="15"/>
    </row>
    <row r="316" customFormat="false" ht="15" hidden="false" customHeight="false" outlineLevel="0" collapsed="false">
      <c r="A316" s="15"/>
      <c r="B316" s="15"/>
      <c r="C316" s="15"/>
      <c r="D316" s="15"/>
      <c r="E316" s="15"/>
      <c r="F316" s="15"/>
      <c r="G316" s="15"/>
      <c r="H316" s="16" t="str">
        <f aca="false">IF(OR(D316="",F316=""),"",IF(D316=F316,"Yes","No"))</f>
        <v/>
      </c>
      <c r="I316" s="15"/>
      <c r="J316" s="15"/>
      <c r="K316" s="15"/>
      <c r="L316" s="15"/>
    </row>
    <row r="317" customFormat="false" ht="15" hidden="false" customHeight="false" outlineLevel="0" collapsed="false">
      <c r="A317" s="15"/>
      <c r="B317" s="15"/>
      <c r="C317" s="15"/>
      <c r="D317" s="15"/>
      <c r="E317" s="15"/>
      <c r="F317" s="15"/>
      <c r="G317" s="15"/>
      <c r="H317" s="16" t="str">
        <f aca="false">IF(OR(D317="",F317=""),"",IF(D317=F317,"Yes","No"))</f>
        <v/>
      </c>
      <c r="I317" s="15"/>
      <c r="J317" s="15"/>
      <c r="K317" s="15"/>
      <c r="L317" s="15"/>
    </row>
    <row r="318" customFormat="false" ht="15" hidden="false" customHeight="false" outlineLevel="0" collapsed="false">
      <c r="A318" s="15"/>
      <c r="B318" s="15"/>
      <c r="C318" s="15"/>
      <c r="D318" s="15"/>
      <c r="E318" s="15"/>
      <c r="F318" s="15"/>
      <c r="G318" s="15"/>
      <c r="H318" s="16" t="str">
        <f aca="false">IF(OR(D318="",F318=""),"",IF(D318=F318,"Yes","No"))</f>
        <v/>
      </c>
      <c r="I318" s="15"/>
      <c r="J318" s="15"/>
      <c r="K318" s="15"/>
      <c r="L318" s="15"/>
    </row>
    <row r="319" customFormat="false" ht="15" hidden="false" customHeight="false" outlineLevel="0" collapsed="false">
      <c r="A319" s="15"/>
      <c r="B319" s="15"/>
      <c r="C319" s="15"/>
      <c r="D319" s="15"/>
      <c r="E319" s="15"/>
      <c r="F319" s="15"/>
      <c r="G319" s="15"/>
      <c r="H319" s="16" t="str">
        <f aca="false">IF(OR(D319="",F319=""),"",IF(D319=F319,"Yes","No"))</f>
        <v/>
      </c>
      <c r="I319" s="15"/>
      <c r="J319" s="15"/>
      <c r="K319" s="15"/>
      <c r="L319" s="15"/>
    </row>
    <row r="320" customFormat="false" ht="15" hidden="false" customHeight="false" outlineLevel="0" collapsed="false">
      <c r="A320" s="15"/>
      <c r="B320" s="15"/>
      <c r="C320" s="15"/>
      <c r="D320" s="15"/>
      <c r="E320" s="15"/>
      <c r="F320" s="15"/>
      <c r="G320" s="15"/>
      <c r="H320" s="16" t="str">
        <f aca="false">IF(OR(D320="",F320=""),"",IF(D320=F320,"Yes","No"))</f>
        <v/>
      </c>
      <c r="I320" s="15"/>
      <c r="J320" s="15"/>
      <c r="K320" s="15"/>
      <c r="L320" s="15"/>
    </row>
    <row r="321" customFormat="false" ht="15" hidden="false" customHeight="false" outlineLevel="0" collapsed="false">
      <c r="A321" s="15"/>
      <c r="B321" s="15"/>
      <c r="C321" s="15"/>
      <c r="D321" s="15"/>
      <c r="E321" s="15"/>
      <c r="F321" s="15"/>
      <c r="G321" s="15"/>
      <c r="H321" s="16" t="str">
        <f aca="false">IF(OR(D321="",F321=""),"",IF(D321=F321,"Yes","No"))</f>
        <v/>
      </c>
      <c r="I321" s="15"/>
      <c r="J321" s="15"/>
      <c r="K321" s="15"/>
      <c r="L321" s="15"/>
    </row>
    <row r="322" customFormat="false" ht="15" hidden="false" customHeight="false" outlineLevel="0" collapsed="false">
      <c r="A322" s="15"/>
      <c r="B322" s="15"/>
      <c r="C322" s="15"/>
      <c r="D322" s="15"/>
      <c r="E322" s="15"/>
      <c r="F322" s="15"/>
      <c r="G322" s="15"/>
      <c r="H322" s="16" t="str">
        <f aca="false">IF(OR(D322="",F322=""),"",IF(D322=F322,"Yes","No"))</f>
        <v/>
      </c>
      <c r="I322" s="15"/>
      <c r="J322" s="15"/>
      <c r="K322" s="15"/>
      <c r="L322" s="15"/>
    </row>
    <row r="323" customFormat="false" ht="15" hidden="false" customHeight="false" outlineLevel="0" collapsed="false">
      <c r="A323" s="15"/>
      <c r="B323" s="15"/>
      <c r="C323" s="15"/>
      <c r="D323" s="15"/>
      <c r="E323" s="15"/>
      <c r="F323" s="15"/>
      <c r="G323" s="15"/>
      <c r="H323" s="16" t="str">
        <f aca="false">IF(OR(D323="",F323=""),"",IF(D323=F323,"Yes","No"))</f>
        <v/>
      </c>
      <c r="I323" s="15"/>
      <c r="J323" s="15"/>
      <c r="K323" s="15"/>
      <c r="L323" s="15"/>
    </row>
    <row r="324" customFormat="false" ht="15" hidden="false" customHeight="false" outlineLevel="0" collapsed="false">
      <c r="A324" s="15"/>
      <c r="B324" s="15"/>
      <c r="C324" s="15"/>
      <c r="D324" s="15"/>
      <c r="E324" s="15"/>
      <c r="F324" s="15"/>
      <c r="G324" s="15"/>
      <c r="H324" s="16" t="str">
        <f aca="false">IF(OR(D324="",F324=""),"",IF(D324=F324,"Yes","No"))</f>
        <v/>
      </c>
      <c r="I324" s="15"/>
      <c r="J324" s="15"/>
      <c r="K324" s="15"/>
      <c r="L324" s="15"/>
    </row>
    <row r="325" customFormat="false" ht="15" hidden="false" customHeight="false" outlineLevel="0" collapsed="false">
      <c r="A325" s="15"/>
      <c r="B325" s="15"/>
      <c r="C325" s="15"/>
      <c r="D325" s="15"/>
      <c r="E325" s="15"/>
      <c r="F325" s="15"/>
      <c r="G325" s="15"/>
      <c r="H325" s="16" t="str">
        <f aca="false">IF(OR(D325="",F325=""),"",IF(D325=F325,"Yes","No"))</f>
        <v/>
      </c>
      <c r="I325" s="15"/>
      <c r="J325" s="15"/>
      <c r="K325" s="15"/>
      <c r="L325" s="15"/>
    </row>
    <row r="326" customFormat="false" ht="15" hidden="false" customHeight="false" outlineLevel="0" collapsed="false">
      <c r="A326" s="15"/>
      <c r="B326" s="15"/>
      <c r="C326" s="15"/>
      <c r="D326" s="15"/>
      <c r="E326" s="15"/>
      <c r="F326" s="15"/>
      <c r="G326" s="15"/>
      <c r="H326" s="16" t="str">
        <f aca="false">IF(OR(D326="",F326=""),"",IF(D326=F326,"Yes","No"))</f>
        <v/>
      </c>
      <c r="I326" s="15"/>
      <c r="J326" s="15"/>
      <c r="K326" s="15"/>
      <c r="L326" s="15"/>
    </row>
    <row r="327" customFormat="false" ht="15" hidden="false" customHeight="false" outlineLevel="0" collapsed="false">
      <c r="A327" s="15"/>
      <c r="B327" s="15"/>
      <c r="C327" s="15"/>
      <c r="D327" s="15"/>
      <c r="E327" s="15"/>
      <c r="F327" s="15"/>
      <c r="G327" s="15"/>
      <c r="H327" s="16" t="str">
        <f aca="false">IF(OR(D327="",F327=""),"",IF(D327=F327,"Yes","No"))</f>
        <v/>
      </c>
      <c r="I327" s="15"/>
      <c r="J327" s="15"/>
      <c r="K327" s="15"/>
      <c r="L327" s="15"/>
    </row>
    <row r="328" customFormat="false" ht="15" hidden="false" customHeight="false" outlineLevel="0" collapsed="false">
      <c r="A328" s="15"/>
      <c r="B328" s="15"/>
      <c r="C328" s="15"/>
      <c r="D328" s="15"/>
      <c r="E328" s="15"/>
      <c r="F328" s="15"/>
      <c r="G328" s="15"/>
      <c r="H328" s="16" t="str">
        <f aca="false">IF(OR(D328="",F328=""),"",IF(D328=F328,"Yes","No"))</f>
        <v/>
      </c>
      <c r="I328" s="15"/>
      <c r="J328" s="15"/>
      <c r="K328" s="15"/>
      <c r="L328" s="15"/>
    </row>
    <row r="329" customFormat="false" ht="15" hidden="false" customHeight="false" outlineLevel="0" collapsed="false">
      <c r="A329" s="15"/>
      <c r="B329" s="15"/>
      <c r="C329" s="15"/>
      <c r="D329" s="15"/>
      <c r="E329" s="15"/>
      <c r="F329" s="15"/>
      <c r="G329" s="15"/>
      <c r="H329" s="16" t="str">
        <f aca="false">IF(OR(D329="",F329=""),"",IF(D329=F329,"Yes","No"))</f>
        <v/>
      </c>
      <c r="I329" s="15"/>
      <c r="J329" s="15"/>
      <c r="K329" s="15"/>
      <c r="L329" s="15"/>
    </row>
    <row r="330" customFormat="false" ht="15" hidden="false" customHeight="false" outlineLevel="0" collapsed="false">
      <c r="A330" s="15"/>
      <c r="B330" s="15"/>
      <c r="C330" s="15"/>
      <c r="D330" s="15"/>
      <c r="E330" s="15"/>
      <c r="F330" s="15"/>
      <c r="G330" s="15"/>
      <c r="H330" s="16" t="str">
        <f aca="false">IF(OR(D330="",F330=""),"",IF(D330=F330,"Yes","No"))</f>
        <v/>
      </c>
      <c r="I330" s="15"/>
      <c r="J330" s="15"/>
      <c r="K330" s="15"/>
      <c r="L330" s="15"/>
    </row>
    <row r="331" customFormat="false" ht="15" hidden="false" customHeight="false" outlineLevel="0" collapsed="false">
      <c r="A331" s="15"/>
      <c r="B331" s="15"/>
      <c r="C331" s="15"/>
      <c r="D331" s="15"/>
      <c r="E331" s="15"/>
      <c r="F331" s="15"/>
      <c r="G331" s="15"/>
      <c r="H331" s="16" t="str">
        <f aca="false">IF(OR(D331="",F331=""),"",IF(D331=F331,"Yes","No"))</f>
        <v/>
      </c>
      <c r="I331" s="15"/>
      <c r="J331" s="15"/>
      <c r="K331" s="15"/>
      <c r="L331" s="15"/>
    </row>
    <row r="332" customFormat="false" ht="15" hidden="false" customHeight="false" outlineLevel="0" collapsed="false">
      <c r="A332" s="15"/>
      <c r="B332" s="15"/>
      <c r="C332" s="15"/>
      <c r="D332" s="15"/>
      <c r="E332" s="15"/>
      <c r="F332" s="15"/>
      <c r="G332" s="15"/>
      <c r="H332" s="16" t="str">
        <f aca="false">IF(OR(D332="",F332=""),"",IF(D332=F332,"Yes","No"))</f>
        <v/>
      </c>
      <c r="I332" s="15"/>
      <c r="J332" s="15"/>
      <c r="K332" s="15"/>
      <c r="L332" s="15"/>
    </row>
    <row r="333" customFormat="false" ht="15" hidden="false" customHeight="false" outlineLevel="0" collapsed="false">
      <c r="A333" s="15"/>
      <c r="B333" s="15"/>
      <c r="C333" s="15"/>
      <c r="D333" s="15"/>
      <c r="E333" s="15"/>
      <c r="F333" s="15"/>
      <c r="G333" s="15"/>
      <c r="H333" s="16" t="str">
        <f aca="false">IF(OR(D333="",F333=""),"",IF(D333=F333,"Yes","No"))</f>
        <v/>
      </c>
      <c r="I333" s="15"/>
      <c r="J333" s="15"/>
      <c r="K333" s="15"/>
      <c r="L333" s="15"/>
    </row>
    <row r="334" customFormat="false" ht="15" hidden="false" customHeight="false" outlineLevel="0" collapsed="false">
      <c r="A334" s="15"/>
      <c r="B334" s="15"/>
      <c r="C334" s="15"/>
      <c r="D334" s="15"/>
      <c r="E334" s="15"/>
      <c r="F334" s="15"/>
      <c r="G334" s="15"/>
      <c r="H334" s="16" t="str">
        <f aca="false">IF(OR(D334="",F334=""),"",IF(D334=F334,"Yes","No"))</f>
        <v/>
      </c>
      <c r="I334" s="15"/>
      <c r="J334" s="15"/>
      <c r="K334" s="15"/>
      <c r="L334" s="15"/>
    </row>
    <row r="335" customFormat="false" ht="15" hidden="false" customHeight="false" outlineLevel="0" collapsed="false">
      <c r="A335" s="15"/>
      <c r="B335" s="15"/>
      <c r="C335" s="15"/>
      <c r="D335" s="15"/>
      <c r="E335" s="15"/>
      <c r="F335" s="15"/>
      <c r="G335" s="15"/>
      <c r="H335" s="16" t="str">
        <f aca="false">IF(OR(D335="",F335=""),"",IF(D335=F335,"Yes","No"))</f>
        <v/>
      </c>
      <c r="I335" s="15"/>
      <c r="J335" s="15"/>
      <c r="K335" s="15"/>
      <c r="L335" s="15"/>
    </row>
    <row r="336" customFormat="false" ht="15" hidden="false" customHeight="false" outlineLevel="0" collapsed="false">
      <c r="A336" s="15"/>
      <c r="B336" s="15"/>
      <c r="C336" s="15"/>
      <c r="D336" s="15"/>
      <c r="E336" s="15"/>
      <c r="F336" s="15"/>
      <c r="G336" s="15"/>
      <c r="H336" s="16" t="str">
        <f aca="false">IF(OR(D336="",F336=""),"",IF(D336=F336,"Yes","No"))</f>
        <v/>
      </c>
      <c r="I336" s="15"/>
      <c r="J336" s="15"/>
      <c r="K336" s="15"/>
      <c r="L336" s="15"/>
    </row>
    <row r="337" customFormat="false" ht="15" hidden="false" customHeight="false" outlineLevel="0" collapsed="false">
      <c r="A337" s="15"/>
      <c r="B337" s="15"/>
      <c r="C337" s="15"/>
      <c r="D337" s="15"/>
      <c r="E337" s="15"/>
      <c r="F337" s="15"/>
      <c r="G337" s="15"/>
      <c r="H337" s="16" t="str">
        <f aca="false">IF(OR(D337="",F337=""),"",IF(D337=F337,"Yes","No"))</f>
        <v/>
      </c>
      <c r="I337" s="15"/>
      <c r="J337" s="15"/>
      <c r="K337" s="15"/>
      <c r="L337" s="15"/>
    </row>
    <row r="338" customFormat="false" ht="15" hidden="false" customHeight="false" outlineLevel="0" collapsed="false">
      <c r="A338" s="15"/>
      <c r="B338" s="15"/>
      <c r="C338" s="15"/>
      <c r="D338" s="15"/>
      <c r="E338" s="15"/>
      <c r="F338" s="15"/>
      <c r="G338" s="15"/>
      <c r="H338" s="16" t="str">
        <f aca="false">IF(OR(D338="",F338=""),"",IF(D338=F338,"Yes","No"))</f>
        <v/>
      </c>
      <c r="I338" s="15"/>
      <c r="J338" s="15"/>
      <c r="K338" s="15"/>
      <c r="L338" s="15"/>
    </row>
    <row r="339" customFormat="false" ht="15" hidden="false" customHeight="false" outlineLevel="0" collapsed="false">
      <c r="A339" s="15"/>
      <c r="B339" s="15"/>
      <c r="C339" s="15"/>
      <c r="D339" s="15"/>
      <c r="E339" s="15"/>
      <c r="F339" s="15"/>
      <c r="G339" s="15"/>
      <c r="H339" s="16" t="str">
        <f aca="false">IF(OR(D339="",F339=""),"",IF(D339=F339,"Yes","No"))</f>
        <v/>
      </c>
      <c r="I339" s="15"/>
      <c r="J339" s="15"/>
      <c r="K339" s="15"/>
      <c r="L339" s="15"/>
    </row>
    <row r="340" customFormat="false" ht="15" hidden="false" customHeight="false" outlineLevel="0" collapsed="false">
      <c r="A340" s="15"/>
      <c r="B340" s="15"/>
      <c r="C340" s="15"/>
      <c r="D340" s="15"/>
      <c r="E340" s="15"/>
      <c r="F340" s="15"/>
      <c r="G340" s="15"/>
      <c r="H340" s="16" t="str">
        <f aca="false">IF(OR(D340="",F340=""),"",IF(D340=F340,"Yes","No"))</f>
        <v/>
      </c>
      <c r="I340" s="15"/>
      <c r="J340" s="15"/>
      <c r="K340" s="15"/>
      <c r="L340" s="15"/>
    </row>
    <row r="341" customFormat="false" ht="15" hidden="false" customHeight="false" outlineLevel="0" collapsed="false">
      <c r="A341" s="15"/>
      <c r="B341" s="15"/>
      <c r="C341" s="15"/>
      <c r="D341" s="15"/>
      <c r="E341" s="15"/>
      <c r="F341" s="15"/>
      <c r="G341" s="15"/>
      <c r="H341" s="16" t="str">
        <f aca="false">IF(OR(D341="",F341=""),"",IF(D341=F341,"Yes","No"))</f>
        <v/>
      </c>
      <c r="I341" s="15"/>
      <c r="J341" s="15"/>
      <c r="K341" s="15"/>
      <c r="L341" s="15"/>
    </row>
    <row r="342" customFormat="false" ht="15" hidden="false" customHeight="false" outlineLevel="0" collapsed="false">
      <c r="A342" s="15"/>
      <c r="B342" s="15"/>
      <c r="C342" s="15"/>
      <c r="D342" s="15"/>
      <c r="E342" s="15"/>
      <c r="F342" s="15"/>
      <c r="G342" s="15"/>
      <c r="H342" s="16" t="str">
        <f aca="false">IF(OR(D342="",F342=""),"",IF(D342=F342,"Yes","No"))</f>
        <v/>
      </c>
      <c r="I342" s="15"/>
      <c r="J342" s="15"/>
      <c r="K342" s="15"/>
      <c r="L342" s="15"/>
    </row>
    <row r="343" customFormat="false" ht="15" hidden="false" customHeight="false" outlineLevel="0" collapsed="false">
      <c r="A343" s="15"/>
      <c r="B343" s="15"/>
      <c r="C343" s="15"/>
      <c r="D343" s="15"/>
      <c r="E343" s="15"/>
      <c r="F343" s="15"/>
      <c r="G343" s="15"/>
      <c r="H343" s="16" t="str">
        <f aca="false">IF(OR(D343="",F343=""),"",IF(D343=F343,"Yes","No"))</f>
        <v/>
      </c>
      <c r="I343" s="15"/>
      <c r="J343" s="15"/>
      <c r="K343" s="15"/>
      <c r="L343" s="15"/>
    </row>
    <row r="344" customFormat="false" ht="15" hidden="false" customHeight="false" outlineLevel="0" collapsed="false">
      <c r="A344" s="15"/>
      <c r="B344" s="15"/>
      <c r="C344" s="15"/>
      <c r="D344" s="15"/>
      <c r="E344" s="15"/>
      <c r="F344" s="15"/>
      <c r="G344" s="15"/>
      <c r="H344" s="16" t="str">
        <f aca="false">IF(OR(D344="",F344=""),"",IF(D344=F344,"Yes","No"))</f>
        <v/>
      </c>
      <c r="I344" s="15"/>
      <c r="J344" s="15"/>
      <c r="K344" s="15"/>
      <c r="L344" s="15"/>
    </row>
    <row r="345" customFormat="false" ht="15" hidden="false" customHeight="false" outlineLevel="0" collapsed="false">
      <c r="A345" s="15"/>
      <c r="B345" s="15"/>
      <c r="C345" s="15"/>
      <c r="D345" s="15"/>
      <c r="E345" s="15"/>
      <c r="F345" s="15"/>
      <c r="G345" s="15"/>
      <c r="H345" s="16" t="str">
        <f aca="false">IF(OR(D345="",F345=""),"",IF(D345=F345,"Yes","No"))</f>
        <v/>
      </c>
      <c r="I345" s="15"/>
      <c r="J345" s="15"/>
      <c r="K345" s="15"/>
      <c r="L345" s="15"/>
    </row>
    <row r="346" customFormat="false" ht="15" hidden="false" customHeight="false" outlineLevel="0" collapsed="false">
      <c r="A346" s="15"/>
      <c r="B346" s="15"/>
      <c r="C346" s="15"/>
      <c r="D346" s="15"/>
      <c r="E346" s="15"/>
      <c r="F346" s="15"/>
      <c r="G346" s="15"/>
      <c r="H346" s="16" t="str">
        <f aca="false">IF(OR(D346="",F346=""),"",IF(D346=F346,"Yes","No"))</f>
        <v/>
      </c>
      <c r="I346" s="15"/>
      <c r="J346" s="15"/>
      <c r="K346" s="15"/>
      <c r="L346" s="15"/>
    </row>
    <row r="347" customFormat="false" ht="15" hidden="false" customHeight="false" outlineLevel="0" collapsed="false">
      <c r="A347" s="15"/>
      <c r="B347" s="15"/>
      <c r="C347" s="15"/>
      <c r="D347" s="15"/>
      <c r="E347" s="15"/>
      <c r="F347" s="15"/>
      <c r="G347" s="15"/>
      <c r="H347" s="16" t="str">
        <f aca="false">IF(OR(D347="",F347=""),"",IF(D347=F347,"Yes","No"))</f>
        <v/>
      </c>
      <c r="I347" s="15"/>
      <c r="J347" s="15"/>
      <c r="K347" s="15"/>
      <c r="L347" s="15"/>
    </row>
    <row r="348" customFormat="false" ht="15" hidden="false" customHeight="false" outlineLevel="0" collapsed="false">
      <c r="A348" s="15"/>
      <c r="B348" s="15"/>
      <c r="C348" s="15"/>
      <c r="D348" s="15"/>
      <c r="E348" s="15"/>
      <c r="F348" s="15"/>
      <c r="G348" s="15"/>
      <c r="H348" s="16" t="str">
        <f aca="false">IF(OR(D348="",F348=""),"",IF(D348=F348,"Yes","No"))</f>
        <v/>
      </c>
      <c r="I348" s="15"/>
      <c r="J348" s="15"/>
      <c r="K348" s="15"/>
      <c r="L348" s="15"/>
    </row>
    <row r="349" customFormat="false" ht="15" hidden="false" customHeight="false" outlineLevel="0" collapsed="false">
      <c r="A349" s="15"/>
      <c r="B349" s="15"/>
      <c r="C349" s="15"/>
      <c r="D349" s="15"/>
      <c r="E349" s="15"/>
      <c r="F349" s="15"/>
      <c r="G349" s="15"/>
      <c r="H349" s="16" t="str">
        <f aca="false">IF(OR(D349="",F349=""),"",IF(D349=F349,"Yes","No"))</f>
        <v/>
      </c>
      <c r="I349" s="15"/>
      <c r="J349" s="15"/>
      <c r="K349" s="15"/>
      <c r="L349" s="15"/>
    </row>
    <row r="350" customFormat="false" ht="15" hidden="false" customHeight="false" outlineLevel="0" collapsed="false">
      <c r="A350" s="15"/>
      <c r="B350" s="15"/>
      <c r="C350" s="15"/>
      <c r="D350" s="15"/>
      <c r="E350" s="15"/>
      <c r="F350" s="15"/>
      <c r="G350" s="15"/>
      <c r="H350" s="16" t="str">
        <f aca="false">IF(OR(D350="",F350=""),"",IF(D350=F350,"Yes","No"))</f>
        <v/>
      </c>
      <c r="I350" s="15"/>
      <c r="J350" s="15"/>
      <c r="K350" s="15"/>
      <c r="L350" s="15"/>
    </row>
    <row r="351" customFormat="false" ht="15" hidden="false" customHeight="false" outlineLevel="0" collapsed="false">
      <c r="A351" s="15"/>
      <c r="B351" s="15"/>
      <c r="C351" s="15"/>
      <c r="D351" s="15"/>
      <c r="E351" s="15"/>
      <c r="F351" s="15"/>
      <c r="G351" s="15"/>
      <c r="H351" s="16" t="str">
        <f aca="false">IF(OR(D351="",F351=""),"",IF(D351=F351,"Yes","No"))</f>
        <v/>
      </c>
      <c r="I351" s="15"/>
      <c r="J351" s="15"/>
      <c r="K351" s="15"/>
      <c r="L351" s="15"/>
    </row>
    <row r="352" customFormat="false" ht="15" hidden="false" customHeight="false" outlineLevel="0" collapsed="false">
      <c r="A352" s="15"/>
      <c r="B352" s="15"/>
      <c r="C352" s="15"/>
      <c r="D352" s="15"/>
      <c r="E352" s="15"/>
      <c r="F352" s="15"/>
      <c r="G352" s="15"/>
      <c r="H352" s="16" t="str">
        <f aca="false">IF(OR(D352="",F352=""),"",IF(D352=F352,"Yes","No"))</f>
        <v/>
      </c>
      <c r="I352" s="15"/>
      <c r="J352" s="15"/>
      <c r="K352" s="15"/>
      <c r="L352" s="15"/>
    </row>
    <row r="353" customFormat="false" ht="15" hidden="false" customHeight="false" outlineLevel="0" collapsed="false">
      <c r="A353" s="15"/>
      <c r="B353" s="15"/>
      <c r="C353" s="15"/>
      <c r="D353" s="15"/>
      <c r="E353" s="15"/>
      <c r="F353" s="15"/>
      <c r="G353" s="15"/>
      <c r="H353" s="16" t="str">
        <f aca="false">IF(OR(D353="",F353=""),"",IF(D353=F353,"Yes","No"))</f>
        <v/>
      </c>
      <c r="I353" s="15"/>
      <c r="J353" s="15"/>
      <c r="K353" s="15"/>
      <c r="L353" s="15"/>
    </row>
    <row r="354" customFormat="false" ht="15" hidden="false" customHeight="false" outlineLevel="0" collapsed="false">
      <c r="A354" s="15"/>
      <c r="B354" s="15"/>
      <c r="C354" s="15"/>
      <c r="D354" s="15"/>
      <c r="E354" s="15"/>
      <c r="F354" s="15"/>
      <c r="G354" s="15"/>
      <c r="H354" s="16" t="str">
        <f aca="false">IF(OR(D354="",F354=""),"",IF(D354=F354,"Yes","No"))</f>
        <v/>
      </c>
      <c r="I354" s="15"/>
      <c r="J354" s="15"/>
      <c r="K354" s="15"/>
      <c r="L354" s="15"/>
    </row>
    <row r="355" customFormat="false" ht="15" hidden="false" customHeight="false" outlineLevel="0" collapsed="false">
      <c r="A355" s="15"/>
      <c r="B355" s="15"/>
      <c r="C355" s="15"/>
      <c r="D355" s="15"/>
      <c r="E355" s="15"/>
      <c r="F355" s="15"/>
      <c r="G355" s="15"/>
      <c r="H355" s="16" t="str">
        <f aca="false">IF(OR(D355="",F355=""),"",IF(D355=F355,"Yes","No"))</f>
        <v/>
      </c>
      <c r="I355" s="15"/>
      <c r="J355" s="15"/>
      <c r="K355" s="15"/>
      <c r="L355" s="15"/>
    </row>
    <row r="356" customFormat="false" ht="15" hidden="false" customHeight="false" outlineLevel="0" collapsed="false">
      <c r="A356" s="15"/>
      <c r="B356" s="15"/>
      <c r="C356" s="15"/>
      <c r="D356" s="15"/>
      <c r="E356" s="15"/>
      <c r="F356" s="15"/>
      <c r="G356" s="15"/>
      <c r="H356" s="16" t="str">
        <f aca="false">IF(OR(D356="",F356=""),"",IF(D356=F356,"Yes","No"))</f>
        <v/>
      </c>
      <c r="I356" s="15"/>
      <c r="J356" s="15"/>
      <c r="K356" s="15"/>
      <c r="L356" s="15"/>
    </row>
    <row r="357" customFormat="false" ht="15" hidden="false" customHeight="false" outlineLevel="0" collapsed="false">
      <c r="A357" s="15"/>
      <c r="B357" s="15"/>
      <c r="C357" s="15"/>
      <c r="D357" s="15"/>
      <c r="E357" s="15"/>
      <c r="F357" s="15"/>
      <c r="G357" s="15"/>
      <c r="H357" s="16" t="str">
        <f aca="false">IF(OR(D357="",F357=""),"",IF(D357=F357,"Yes","No"))</f>
        <v/>
      </c>
      <c r="I357" s="15"/>
      <c r="J357" s="15"/>
      <c r="K357" s="15"/>
      <c r="L357" s="15"/>
    </row>
    <row r="358" customFormat="false" ht="15" hidden="false" customHeight="false" outlineLevel="0" collapsed="false">
      <c r="A358" s="15"/>
      <c r="B358" s="15"/>
      <c r="C358" s="15"/>
      <c r="D358" s="15"/>
      <c r="E358" s="15"/>
      <c r="F358" s="15"/>
      <c r="G358" s="15"/>
      <c r="H358" s="16" t="str">
        <f aca="false">IF(OR(D358="",F358=""),"",IF(D358=F358,"Yes","No"))</f>
        <v/>
      </c>
      <c r="I358" s="15"/>
      <c r="J358" s="15"/>
      <c r="K358" s="15"/>
      <c r="L358" s="15"/>
    </row>
    <row r="359" customFormat="false" ht="15" hidden="false" customHeight="false" outlineLevel="0" collapsed="false">
      <c r="A359" s="15"/>
      <c r="B359" s="15"/>
      <c r="C359" s="15"/>
      <c r="D359" s="15"/>
      <c r="E359" s="15"/>
      <c r="F359" s="15"/>
      <c r="G359" s="15"/>
      <c r="H359" s="16" t="str">
        <f aca="false">IF(OR(D359="",F359=""),"",IF(D359=F359,"Yes","No"))</f>
        <v/>
      </c>
      <c r="I359" s="15"/>
      <c r="J359" s="15"/>
      <c r="K359" s="15"/>
      <c r="L359" s="15"/>
    </row>
    <row r="360" customFormat="false" ht="15" hidden="false" customHeight="false" outlineLevel="0" collapsed="false">
      <c r="A360" s="15"/>
      <c r="B360" s="15"/>
      <c r="C360" s="15"/>
      <c r="D360" s="15"/>
      <c r="E360" s="15"/>
      <c r="F360" s="15"/>
      <c r="G360" s="15"/>
      <c r="H360" s="16" t="str">
        <f aca="false">IF(OR(D360="",F360=""),"",IF(D360=F360,"Yes","No"))</f>
        <v/>
      </c>
      <c r="I360" s="15"/>
      <c r="J360" s="15"/>
      <c r="K360" s="15"/>
      <c r="L360" s="15"/>
    </row>
    <row r="361" customFormat="false" ht="15" hidden="false" customHeight="false" outlineLevel="0" collapsed="false">
      <c r="A361" s="15"/>
      <c r="B361" s="15"/>
      <c r="C361" s="15"/>
      <c r="D361" s="15"/>
      <c r="E361" s="15"/>
      <c r="F361" s="15"/>
      <c r="G361" s="15"/>
      <c r="H361" s="16" t="str">
        <f aca="false">IF(OR(D361="",F361=""),"",IF(D361=F361,"Yes","No"))</f>
        <v/>
      </c>
      <c r="I361" s="15"/>
      <c r="J361" s="15"/>
      <c r="K361" s="15"/>
      <c r="L361" s="15"/>
    </row>
    <row r="362" customFormat="false" ht="15" hidden="false" customHeight="false" outlineLevel="0" collapsed="false">
      <c r="A362" s="15"/>
      <c r="B362" s="15"/>
      <c r="C362" s="15"/>
      <c r="D362" s="15"/>
      <c r="E362" s="15"/>
      <c r="F362" s="15"/>
      <c r="G362" s="15"/>
      <c r="H362" s="16" t="str">
        <f aca="false">IF(OR(D362="",F362=""),"",IF(D362=F362,"Yes","No"))</f>
        <v/>
      </c>
      <c r="I362" s="15"/>
      <c r="J362" s="15"/>
      <c r="K362" s="15"/>
      <c r="L362" s="15"/>
    </row>
    <row r="363" customFormat="false" ht="15" hidden="false" customHeight="false" outlineLevel="0" collapsed="false">
      <c r="A363" s="15"/>
      <c r="B363" s="15"/>
      <c r="C363" s="15"/>
      <c r="D363" s="15"/>
      <c r="E363" s="15"/>
      <c r="F363" s="15"/>
      <c r="G363" s="15"/>
      <c r="H363" s="16" t="str">
        <f aca="false">IF(OR(D363="",F363=""),"",IF(D363=F363,"Yes","No"))</f>
        <v/>
      </c>
      <c r="I363" s="15"/>
      <c r="J363" s="15"/>
      <c r="K363" s="15"/>
      <c r="L363" s="15"/>
    </row>
    <row r="364" customFormat="false" ht="15" hidden="false" customHeight="false" outlineLevel="0" collapsed="false">
      <c r="A364" s="15"/>
      <c r="B364" s="15"/>
      <c r="C364" s="15"/>
      <c r="D364" s="15"/>
      <c r="E364" s="15"/>
      <c r="F364" s="15"/>
      <c r="G364" s="15"/>
      <c r="H364" s="16" t="str">
        <f aca="false">IF(OR(D364="",F364=""),"",IF(D364=F364,"Yes","No"))</f>
        <v/>
      </c>
      <c r="I364" s="15"/>
      <c r="J364" s="15"/>
      <c r="K364" s="15"/>
      <c r="L364" s="15"/>
    </row>
    <row r="365" customFormat="false" ht="15" hidden="false" customHeight="false" outlineLevel="0" collapsed="false">
      <c r="A365" s="15"/>
      <c r="B365" s="15"/>
      <c r="C365" s="15"/>
      <c r="D365" s="15"/>
      <c r="E365" s="15"/>
      <c r="F365" s="15"/>
      <c r="G365" s="15"/>
      <c r="H365" s="16" t="str">
        <f aca="false">IF(OR(D365="",F365=""),"",IF(D365=F365,"Yes","No"))</f>
        <v/>
      </c>
      <c r="I365" s="15"/>
      <c r="J365" s="15"/>
      <c r="K365" s="15"/>
      <c r="L365" s="15"/>
    </row>
    <row r="366" customFormat="false" ht="15" hidden="false" customHeight="false" outlineLevel="0" collapsed="false">
      <c r="A366" s="15"/>
      <c r="B366" s="15"/>
      <c r="C366" s="15"/>
      <c r="D366" s="15"/>
      <c r="E366" s="15"/>
      <c r="F366" s="15"/>
      <c r="G366" s="15"/>
      <c r="H366" s="16" t="str">
        <f aca="false">IF(OR(D366="",F366=""),"",IF(D366=F366,"Yes","No"))</f>
        <v/>
      </c>
      <c r="I366" s="15"/>
      <c r="J366" s="15"/>
      <c r="K366" s="15"/>
      <c r="L366" s="15"/>
    </row>
    <row r="367" customFormat="false" ht="15" hidden="false" customHeight="false" outlineLevel="0" collapsed="false">
      <c r="A367" s="15"/>
      <c r="B367" s="15"/>
      <c r="C367" s="15"/>
      <c r="D367" s="15"/>
      <c r="E367" s="15"/>
      <c r="F367" s="15"/>
      <c r="G367" s="15"/>
      <c r="H367" s="16" t="str">
        <f aca="false">IF(OR(D367="",F367=""),"",IF(D367=F367,"Yes","No"))</f>
        <v/>
      </c>
      <c r="I367" s="15"/>
      <c r="J367" s="15"/>
      <c r="K367" s="15"/>
      <c r="L367" s="15"/>
    </row>
    <row r="368" customFormat="false" ht="15" hidden="false" customHeight="false" outlineLevel="0" collapsed="false">
      <c r="A368" s="15"/>
      <c r="B368" s="15"/>
      <c r="C368" s="15"/>
      <c r="D368" s="15"/>
      <c r="E368" s="15"/>
      <c r="F368" s="15"/>
      <c r="G368" s="15"/>
      <c r="H368" s="16" t="str">
        <f aca="false">IF(OR(D368="",F368=""),"",IF(D368=F368,"Yes","No"))</f>
        <v/>
      </c>
      <c r="I368" s="15"/>
      <c r="J368" s="15"/>
      <c r="K368" s="15"/>
      <c r="L368" s="15"/>
    </row>
    <row r="369" customFormat="false" ht="15" hidden="false" customHeight="false" outlineLevel="0" collapsed="false">
      <c r="A369" s="15"/>
      <c r="B369" s="15"/>
      <c r="C369" s="15"/>
      <c r="D369" s="15"/>
      <c r="E369" s="15"/>
      <c r="F369" s="15"/>
      <c r="G369" s="15"/>
      <c r="H369" s="16" t="str">
        <f aca="false">IF(OR(D369="",F369=""),"",IF(D369=F369,"Yes","No"))</f>
        <v/>
      </c>
      <c r="I369" s="15"/>
      <c r="J369" s="15"/>
      <c r="K369" s="15"/>
      <c r="L369" s="15"/>
    </row>
    <row r="370" customFormat="false" ht="15" hidden="false" customHeight="false" outlineLevel="0" collapsed="false">
      <c r="A370" s="15"/>
      <c r="B370" s="15"/>
      <c r="C370" s="15"/>
      <c r="D370" s="15"/>
      <c r="E370" s="15"/>
      <c r="F370" s="15"/>
      <c r="G370" s="15"/>
      <c r="H370" s="16" t="str">
        <f aca="false">IF(OR(D370="",F370=""),"",IF(D370=F370,"Yes","No"))</f>
        <v/>
      </c>
      <c r="I370" s="15"/>
      <c r="J370" s="15"/>
      <c r="K370" s="15"/>
      <c r="L370" s="15"/>
    </row>
    <row r="371" customFormat="false" ht="15" hidden="false" customHeight="false" outlineLevel="0" collapsed="false">
      <c r="A371" s="15"/>
      <c r="B371" s="15"/>
      <c r="C371" s="15"/>
      <c r="D371" s="15"/>
      <c r="E371" s="15"/>
      <c r="F371" s="15"/>
      <c r="G371" s="15"/>
      <c r="H371" s="16" t="str">
        <f aca="false">IF(OR(D371="",F371=""),"",IF(D371=F371,"Yes","No"))</f>
        <v/>
      </c>
      <c r="I371" s="15"/>
      <c r="J371" s="15"/>
      <c r="K371" s="15"/>
      <c r="L371" s="15"/>
    </row>
    <row r="372" customFormat="false" ht="15" hidden="false" customHeight="false" outlineLevel="0" collapsed="false">
      <c r="A372" s="15"/>
      <c r="B372" s="15"/>
      <c r="C372" s="15"/>
      <c r="D372" s="15"/>
      <c r="E372" s="15"/>
      <c r="F372" s="15"/>
      <c r="G372" s="15"/>
      <c r="H372" s="16" t="str">
        <f aca="false">IF(OR(D372="",F372=""),"",IF(D372=F372,"Yes","No"))</f>
        <v/>
      </c>
      <c r="I372" s="15"/>
      <c r="J372" s="15"/>
      <c r="K372" s="15"/>
      <c r="L372" s="15"/>
    </row>
    <row r="373" customFormat="false" ht="15" hidden="false" customHeight="false" outlineLevel="0" collapsed="false">
      <c r="A373" s="15"/>
      <c r="B373" s="15"/>
      <c r="C373" s="15"/>
      <c r="D373" s="15"/>
      <c r="E373" s="15"/>
      <c r="F373" s="15"/>
      <c r="G373" s="15"/>
      <c r="H373" s="16" t="str">
        <f aca="false">IF(OR(D373="",F373=""),"",IF(D373=F373,"Yes","No"))</f>
        <v/>
      </c>
      <c r="I373" s="15"/>
      <c r="J373" s="15"/>
      <c r="K373" s="15"/>
      <c r="L373" s="15"/>
    </row>
    <row r="374" customFormat="false" ht="15" hidden="false" customHeight="false" outlineLevel="0" collapsed="false">
      <c r="A374" s="15"/>
      <c r="B374" s="15"/>
      <c r="C374" s="15"/>
      <c r="D374" s="15"/>
      <c r="E374" s="15"/>
      <c r="F374" s="15"/>
      <c r="G374" s="15"/>
      <c r="H374" s="16" t="str">
        <f aca="false">IF(OR(D374="",F374=""),"",IF(D374=F374,"Yes","No"))</f>
        <v/>
      </c>
      <c r="I374" s="15"/>
      <c r="J374" s="15"/>
      <c r="K374" s="15"/>
      <c r="L374" s="15"/>
    </row>
    <row r="375" customFormat="false" ht="15" hidden="false" customHeight="false" outlineLevel="0" collapsed="false">
      <c r="A375" s="15"/>
      <c r="B375" s="15"/>
      <c r="C375" s="15"/>
      <c r="D375" s="15"/>
      <c r="E375" s="15"/>
      <c r="F375" s="15"/>
      <c r="G375" s="15"/>
      <c r="H375" s="16" t="str">
        <f aca="false">IF(OR(D375="",F375=""),"",IF(D375=F375,"Yes","No"))</f>
        <v/>
      </c>
      <c r="I375" s="15"/>
      <c r="J375" s="15"/>
      <c r="K375" s="15"/>
      <c r="L375" s="15"/>
    </row>
    <row r="376" customFormat="false" ht="15" hidden="false" customHeight="false" outlineLevel="0" collapsed="false">
      <c r="A376" s="15"/>
      <c r="B376" s="15"/>
      <c r="C376" s="15"/>
      <c r="D376" s="15"/>
      <c r="E376" s="15"/>
      <c r="F376" s="15"/>
      <c r="G376" s="15"/>
      <c r="H376" s="16" t="str">
        <f aca="false">IF(OR(D376="",F376=""),"",IF(D376=F376,"Yes","No"))</f>
        <v/>
      </c>
      <c r="I376" s="15"/>
      <c r="J376" s="15"/>
      <c r="K376" s="15"/>
      <c r="L376" s="15"/>
    </row>
    <row r="377" customFormat="false" ht="15" hidden="false" customHeight="false" outlineLevel="0" collapsed="false">
      <c r="A377" s="15"/>
      <c r="B377" s="15"/>
      <c r="C377" s="15"/>
      <c r="D377" s="15"/>
      <c r="E377" s="15"/>
      <c r="F377" s="15"/>
      <c r="G377" s="15"/>
      <c r="H377" s="16" t="str">
        <f aca="false">IF(OR(D377="",F377=""),"",IF(D377=F377,"Yes","No"))</f>
        <v/>
      </c>
      <c r="I377" s="15"/>
      <c r="J377" s="15"/>
      <c r="K377" s="15"/>
      <c r="L377" s="15"/>
    </row>
    <row r="378" customFormat="false" ht="15" hidden="false" customHeight="false" outlineLevel="0" collapsed="false">
      <c r="A378" s="15"/>
      <c r="B378" s="15"/>
      <c r="C378" s="15"/>
      <c r="D378" s="15"/>
      <c r="E378" s="15"/>
      <c r="F378" s="15"/>
      <c r="G378" s="15"/>
      <c r="H378" s="16" t="str">
        <f aca="false">IF(OR(D378="",F378=""),"",IF(D378=F378,"Yes","No"))</f>
        <v/>
      </c>
      <c r="I378" s="15"/>
      <c r="J378" s="15"/>
      <c r="K378" s="15"/>
      <c r="L378" s="15"/>
    </row>
    <row r="379" customFormat="false" ht="15" hidden="false" customHeight="false" outlineLevel="0" collapsed="false">
      <c r="A379" s="15"/>
      <c r="B379" s="15"/>
      <c r="C379" s="15"/>
      <c r="D379" s="15"/>
      <c r="E379" s="15"/>
      <c r="F379" s="15"/>
      <c r="G379" s="15"/>
      <c r="H379" s="16" t="str">
        <f aca="false">IF(OR(D379="",F379=""),"",IF(D379=F379,"Yes","No"))</f>
        <v/>
      </c>
      <c r="I379" s="15"/>
      <c r="J379" s="15"/>
      <c r="K379" s="15"/>
      <c r="L379" s="15"/>
    </row>
    <row r="380" customFormat="false" ht="15" hidden="false" customHeight="false" outlineLevel="0" collapsed="false">
      <c r="A380" s="15"/>
      <c r="B380" s="15"/>
      <c r="C380" s="15"/>
      <c r="D380" s="15"/>
      <c r="E380" s="15"/>
      <c r="F380" s="15"/>
      <c r="G380" s="15"/>
      <c r="H380" s="16" t="str">
        <f aca="false">IF(OR(D380="",F380=""),"",IF(D380=F380,"Yes","No"))</f>
        <v/>
      </c>
      <c r="I380" s="15"/>
      <c r="J380" s="15"/>
      <c r="K380" s="15"/>
      <c r="L380" s="15"/>
    </row>
    <row r="381" customFormat="false" ht="15" hidden="false" customHeight="false" outlineLevel="0" collapsed="false">
      <c r="A381" s="15"/>
      <c r="B381" s="15"/>
      <c r="C381" s="15"/>
      <c r="D381" s="15"/>
      <c r="E381" s="15"/>
      <c r="F381" s="15"/>
      <c r="G381" s="15"/>
      <c r="H381" s="16" t="str">
        <f aca="false">IF(OR(D381="",F381=""),"",IF(D381=F381,"Yes","No"))</f>
        <v/>
      </c>
      <c r="I381" s="15"/>
      <c r="J381" s="15"/>
      <c r="K381" s="15"/>
      <c r="L381" s="15"/>
    </row>
    <row r="382" customFormat="false" ht="15" hidden="false" customHeight="false" outlineLevel="0" collapsed="false">
      <c r="A382" s="15"/>
      <c r="B382" s="15"/>
      <c r="C382" s="15"/>
      <c r="D382" s="15"/>
      <c r="E382" s="15"/>
      <c r="F382" s="15"/>
      <c r="G382" s="15"/>
      <c r="H382" s="16" t="str">
        <f aca="false">IF(OR(D382="",F382=""),"",IF(D382=F382,"Yes","No"))</f>
        <v/>
      </c>
      <c r="I382" s="15"/>
      <c r="J382" s="15"/>
      <c r="K382" s="15"/>
      <c r="L382" s="15"/>
    </row>
    <row r="383" customFormat="false" ht="15" hidden="false" customHeight="false" outlineLevel="0" collapsed="false">
      <c r="A383" s="15"/>
      <c r="B383" s="15"/>
      <c r="C383" s="15"/>
      <c r="D383" s="15"/>
      <c r="E383" s="15"/>
      <c r="F383" s="15"/>
      <c r="G383" s="15"/>
      <c r="H383" s="16" t="str">
        <f aca="false">IF(OR(D383="",F383=""),"",IF(D383=F383,"Yes","No"))</f>
        <v/>
      </c>
      <c r="I383" s="15"/>
      <c r="J383" s="15"/>
      <c r="K383" s="15"/>
      <c r="L383" s="15"/>
    </row>
    <row r="384" customFormat="false" ht="15" hidden="false" customHeight="false" outlineLevel="0" collapsed="false">
      <c r="A384" s="15"/>
      <c r="B384" s="15"/>
      <c r="C384" s="15"/>
      <c r="D384" s="15"/>
      <c r="E384" s="15"/>
      <c r="F384" s="15"/>
      <c r="G384" s="15"/>
      <c r="H384" s="16" t="str">
        <f aca="false">IF(OR(D384="",F384=""),"",IF(D384=F384,"Yes","No"))</f>
        <v/>
      </c>
      <c r="I384" s="15"/>
      <c r="J384" s="15"/>
      <c r="K384" s="15"/>
      <c r="L384" s="15"/>
    </row>
    <row r="385" customFormat="false" ht="15" hidden="false" customHeight="false" outlineLevel="0" collapsed="false">
      <c r="A385" s="15"/>
      <c r="B385" s="15"/>
      <c r="C385" s="15"/>
      <c r="D385" s="15"/>
      <c r="E385" s="15"/>
      <c r="F385" s="15"/>
      <c r="G385" s="15"/>
      <c r="H385" s="16" t="str">
        <f aca="false">IF(OR(D385="",F385=""),"",IF(D385=F385,"Yes","No"))</f>
        <v/>
      </c>
      <c r="I385" s="15"/>
      <c r="J385" s="15"/>
      <c r="K385" s="15"/>
      <c r="L385" s="15"/>
    </row>
    <row r="386" customFormat="false" ht="15" hidden="false" customHeight="false" outlineLevel="0" collapsed="false">
      <c r="A386" s="15"/>
      <c r="B386" s="15"/>
      <c r="C386" s="15"/>
      <c r="D386" s="15"/>
      <c r="E386" s="15"/>
      <c r="F386" s="15"/>
      <c r="G386" s="15"/>
      <c r="H386" s="16" t="str">
        <f aca="false">IF(OR(D386="",F386=""),"",IF(D386=F386,"Yes","No"))</f>
        <v/>
      </c>
      <c r="I386" s="15"/>
      <c r="J386" s="15"/>
      <c r="K386" s="15"/>
      <c r="L386" s="15"/>
    </row>
    <row r="387" customFormat="false" ht="15" hidden="false" customHeight="false" outlineLevel="0" collapsed="false">
      <c r="A387" s="15"/>
      <c r="B387" s="15"/>
      <c r="C387" s="15"/>
      <c r="D387" s="15"/>
      <c r="E387" s="15"/>
      <c r="F387" s="15"/>
      <c r="G387" s="15"/>
      <c r="H387" s="16" t="str">
        <f aca="false">IF(OR(D387="",F387=""),"",IF(D387=F387,"Yes","No"))</f>
        <v/>
      </c>
      <c r="I387" s="15"/>
      <c r="J387" s="15"/>
      <c r="K387" s="15"/>
      <c r="L387" s="15"/>
    </row>
    <row r="388" customFormat="false" ht="15" hidden="false" customHeight="false" outlineLevel="0" collapsed="false">
      <c r="A388" s="15"/>
      <c r="B388" s="15"/>
      <c r="C388" s="15"/>
      <c r="D388" s="15"/>
      <c r="E388" s="15"/>
      <c r="F388" s="15"/>
      <c r="G388" s="15"/>
      <c r="H388" s="16" t="str">
        <f aca="false">IF(OR(D388="",F388=""),"",IF(D388=F388,"Yes","No"))</f>
        <v/>
      </c>
      <c r="I388" s="15"/>
      <c r="J388" s="15"/>
      <c r="K388" s="15"/>
      <c r="L388" s="15"/>
    </row>
    <row r="389" customFormat="false" ht="15" hidden="false" customHeight="false" outlineLevel="0" collapsed="false">
      <c r="A389" s="15"/>
      <c r="B389" s="15"/>
      <c r="C389" s="15"/>
      <c r="D389" s="15"/>
      <c r="E389" s="15"/>
      <c r="F389" s="15"/>
      <c r="G389" s="15"/>
      <c r="H389" s="16" t="str">
        <f aca="false">IF(OR(D389="",F389=""),"",IF(D389=F389,"Yes","No"))</f>
        <v/>
      </c>
      <c r="I389" s="15"/>
      <c r="J389" s="15"/>
      <c r="K389" s="15"/>
      <c r="L389" s="15"/>
    </row>
    <row r="390" customFormat="false" ht="15" hidden="false" customHeight="false" outlineLevel="0" collapsed="false">
      <c r="A390" s="15"/>
      <c r="B390" s="15"/>
      <c r="C390" s="15"/>
      <c r="D390" s="15"/>
      <c r="E390" s="15"/>
      <c r="F390" s="15"/>
      <c r="G390" s="15"/>
      <c r="H390" s="16" t="str">
        <f aca="false">IF(OR(D390="",F390=""),"",IF(D390=F390,"Yes","No"))</f>
        <v/>
      </c>
      <c r="I390" s="15"/>
      <c r="J390" s="15"/>
      <c r="K390" s="15"/>
      <c r="L390" s="15"/>
    </row>
    <row r="391" customFormat="false" ht="15" hidden="false" customHeight="false" outlineLevel="0" collapsed="false">
      <c r="A391" s="15"/>
      <c r="B391" s="15"/>
      <c r="C391" s="15"/>
      <c r="D391" s="15"/>
      <c r="E391" s="15"/>
      <c r="F391" s="15"/>
      <c r="G391" s="15"/>
      <c r="H391" s="16" t="str">
        <f aca="false">IF(OR(D391="",F391=""),"",IF(D391=F391,"Yes","No"))</f>
        <v/>
      </c>
      <c r="I391" s="15"/>
      <c r="J391" s="15"/>
      <c r="K391" s="15"/>
      <c r="L391" s="15"/>
    </row>
    <row r="392" customFormat="false" ht="15" hidden="false" customHeight="false" outlineLevel="0" collapsed="false">
      <c r="A392" s="15"/>
      <c r="B392" s="15"/>
      <c r="C392" s="15"/>
      <c r="D392" s="15"/>
      <c r="E392" s="15"/>
      <c r="F392" s="15"/>
      <c r="G392" s="15"/>
      <c r="H392" s="16" t="str">
        <f aca="false">IF(OR(D392="",F392=""),"",IF(D392=F392,"Yes","No"))</f>
        <v/>
      </c>
      <c r="I392" s="15"/>
      <c r="J392" s="15"/>
      <c r="K392" s="15"/>
      <c r="L392" s="15"/>
    </row>
    <row r="393" customFormat="false" ht="15" hidden="false" customHeight="false" outlineLevel="0" collapsed="false">
      <c r="A393" s="15"/>
      <c r="B393" s="15"/>
      <c r="C393" s="15"/>
      <c r="D393" s="15"/>
      <c r="E393" s="15"/>
      <c r="F393" s="15"/>
      <c r="G393" s="15"/>
      <c r="H393" s="16" t="str">
        <f aca="false">IF(OR(D393="",F393=""),"",IF(D393=F393,"Yes","No"))</f>
        <v/>
      </c>
      <c r="I393" s="15"/>
      <c r="J393" s="15"/>
      <c r="K393" s="15"/>
      <c r="L393" s="15"/>
    </row>
    <row r="394" customFormat="false" ht="15" hidden="false" customHeight="false" outlineLevel="0" collapsed="false">
      <c r="A394" s="15"/>
      <c r="B394" s="15"/>
      <c r="C394" s="15"/>
      <c r="D394" s="15"/>
      <c r="E394" s="15"/>
      <c r="F394" s="15"/>
      <c r="G394" s="15"/>
      <c r="H394" s="16" t="str">
        <f aca="false">IF(OR(D394="",F394=""),"",IF(D394=F394,"Yes","No"))</f>
        <v/>
      </c>
      <c r="I394" s="15"/>
      <c r="J394" s="15"/>
      <c r="K394" s="15"/>
      <c r="L394" s="15"/>
    </row>
    <row r="395" customFormat="false" ht="15" hidden="false" customHeight="false" outlineLevel="0" collapsed="false">
      <c r="A395" s="15"/>
      <c r="B395" s="15"/>
      <c r="C395" s="15"/>
      <c r="D395" s="15"/>
      <c r="E395" s="15"/>
      <c r="F395" s="15"/>
      <c r="G395" s="15"/>
      <c r="H395" s="16" t="str">
        <f aca="false">IF(OR(D395="",F395=""),"",IF(D395=F395,"Yes","No"))</f>
        <v/>
      </c>
      <c r="I395" s="15"/>
      <c r="J395" s="15"/>
      <c r="K395" s="15"/>
      <c r="L395" s="15"/>
    </row>
    <row r="396" customFormat="false" ht="15" hidden="false" customHeight="false" outlineLevel="0" collapsed="false">
      <c r="A396" s="15"/>
      <c r="B396" s="15"/>
      <c r="C396" s="15"/>
      <c r="D396" s="15"/>
      <c r="E396" s="15"/>
      <c r="F396" s="15"/>
      <c r="G396" s="15"/>
      <c r="H396" s="16" t="str">
        <f aca="false">IF(OR(D396="",F396=""),"",IF(D396=F396,"Yes","No"))</f>
        <v/>
      </c>
      <c r="I396" s="15"/>
      <c r="J396" s="15"/>
      <c r="K396" s="15"/>
      <c r="L396" s="15"/>
    </row>
    <row r="397" customFormat="false" ht="15" hidden="false" customHeight="false" outlineLevel="0" collapsed="false">
      <c r="A397" s="15"/>
      <c r="B397" s="15"/>
      <c r="C397" s="15"/>
      <c r="D397" s="15"/>
      <c r="E397" s="15"/>
      <c r="F397" s="15"/>
      <c r="G397" s="15"/>
      <c r="H397" s="16" t="str">
        <f aca="false">IF(OR(D397="",F397=""),"",IF(D397=F397,"Yes","No"))</f>
        <v/>
      </c>
      <c r="I397" s="15"/>
      <c r="J397" s="15"/>
      <c r="K397" s="15"/>
      <c r="L397" s="15"/>
    </row>
    <row r="398" customFormat="false" ht="15" hidden="false" customHeight="false" outlineLevel="0" collapsed="false">
      <c r="A398" s="15"/>
      <c r="B398" s="15"/>
      <c r="C398" s="15"/>
      <c r="D398" s="15"/>
      <c r="E398" s="15"/>
      <c r="F398" s="15"/>
      <c r="G398" s="15"/>
      <c r="H398" s="16" t="str">
        <f aca="false">IF(OR(D398="",F398=""),"",IF(D398=F398,"Yes","No"))</f>
        <v/>
      </c>
      <c r="I398" s="15"/>
      <c r="J398" s="15"/>
      <c r="K398" s="15"/>
      <c r="L398" s="15"/>
    </row>
    <row r="399" customFormat="false" ht="15" hidden="false" customHeight="false" outlineLevel="0" collapsed="false">
      <c r="A399" s="15"/>
      <c r="B399" s="15"/>
      <c r="C399" s="15"/>
      <c r="D399" s="15"/>
      <c r="E399" s="15"/>
      <c r="F399" s="15"/>
      <c r="G399" s="15"/>
      <c r="H399" s="16" t="str">
        <f aca="false">IF(OR(D399="",F399=""),"",IF(D399=F399,"Yes","No"))</f>
        <v/>
      </c>
      <c r="I399" s="15"/>
      <c r="J399" s="15"/>
      <c r="K399" s="15"/>
      <c r="L399" s="15"/>
    </row>
    <row r="400" customFormat="false" ht="15" hidden="false" customHeight="false" outlineLevel="0" collapsed="false">
      <c r="A400" s="15"/>
      <c r="B400" s="15"/>
      <c r="C400" s="15"/>
      <c r="D400" s="15"/>
      <c r="E400" s="15"/>
      <c r="F400" s="15"/>
      <c r="G400" s="15"/>
      <c r="H400" s="16" t="str">
        <f aca="false">IF(OR(D400="",F400=""),"",IF(D400=F400,"Yes","No"))</f>
        <v/>
      </c>
      <c r="I400" s="15"/>
      <c r="J400" s="15"/>
      <c r="K400" s="15"/>
      <c r="L400" s="15"/>
    </row>
    <row r="401" customFormat="false" ht="15" hidden="false" customHeight="false" outlineLevel="0" collapsed="false">
      <c r="A401" s="15"/>
      <c r="B401" s="15"/>
      <c r="C401" s="15"/>
      <c r="D401" s="15"/>
      <c r="E401" s="15"/>
      <c r="F401" s="15"/>
      <c r="G401" s="15"/>
      <c r="H401" s="16" t="str">
        <f aca="false">IF(OR(D401="",F401=""),"",IF(D401=F401,"Yes","No"))</f>
        <v/>
      </c>
      <c r="I401" s="15"/>
      <c r="J401" s="15"/>
      <c r="K401" s="15"/>
      <c r="L401" s="15"/>
    </row>
    <row r="402" customFormat="false" ht="15" hidden="false" customHeight="false" outlineLevel="0" collapsed="false">
      <c r="A402" s="15"/>
      <c r="B402" s="15"/>
      <c r="C402" s="15"/>
      <c r="D402" s="15"/>
      <c r="E402" s="15"/>
      <c r="F402" s="15"/>
      <c r="G402" s="15"/>
      <c r="H402" s="16" t="str">
        <f aca="false">IF(OR(D402="",F402=""),"",IF(D402=F402,"Yes","No"))</f>
        <v/>
      </c>
      <c r="I402" s="15"/>
      <c r="J402" s="15"/>
      <c r="K402" s="15"/>
      <c r="L402" s="15"/>
    </row>
    <row r="403" customFormat="false" ht="15" hidden="false" customHeight="false" outlineLevel="0" collapsed="false">
      <c r="A403" s="15"/>
      <c r="B403" s="15"/>
      <c r="C403" s="15"/>
      <c r="D403" s="15"/>
      <c r="E403" s="15"/>
      <c r="F403" s="15"/>
      <c r="G403" s="15"/>
      <c r="H403" s="16" t="str">
        <f aca="false">IF(OR(D403="",F403=""),"",IF(D403=F403,"Yes","No"))</f>
        <v/>
      </c>
      <c r="I403" s="15"/>
      <c r="J403" s="15"/>
      <c r="K403" s="15"/>
      <c r="L403" s="15"/>
    </row>
    <row r="404" customFormat="false" ht="15" hidden="false" customHeight="false" outlineLevel="0" collapsed="false">
      <c r="A404" s="15"/>
      <c r="B404" s="15"/>
      <c r="C404" s="15"/>
      <c r="D404" s="15"/>
      <c r="E404" s="15"/>
      <c r="F404" s="15"/>
      <c r="G404" s="15"/>
      <c r="H404" s="16" t="str">
        <f aca="false">IF(OR(D404="",F404=""),"",IF(D404=F404,"Yes","No"))</f>
        <v/>
      </c>
      <c r="I404" s="15"/>
      <c r="J404" s="15"/>
      <c r="K404" s="15"/>
      <c r="L404" s="15"/>
    </row>
    <row r="405" customFormat="false" ht="15" hidden="false" customHeight="false" outlineLevel="0" collapsed="false">
      <c r="A405" s="15"/>
      <c r="B405" s="15"/>
      <c r="C405" s="15"/>
      <c r="D405" s="15"/>
      <c r="E405" s="15"/>
      <c r="F405" s="15"/>
      <c r="G405" s="15"/>
      <c r="H405" s="16" t="str">
        <f aca="false">IF(OR(D405="",F405=""),"",IF(D405=F405,"Yes","No"))</f>
        <v/>
      </c>
      <c r="I405" s="15"/>
      <c r="J405" s="15"/>
      <c r="K405" s="15"/>
      <c r="L405" s="15"/>
    </row>
    <row r="406" customFormat="false" ht="15" hidden="false" customHeight="false" outlineLevel="0" collapsed="false">
      <c r="A406" s="15"/>
      <c r="B406" s="15"/>
      <c r="C406" s="15"/>
      <c r="D406" s="15"/>
      <c r="E406" s="15"/>
      <c r="F406" s="15"/>
      <c r="G406" s="15"/>
      <c r="H406" s="16" t="str">
        <f aca="false">IF(OR(D406="",F406=""),"",IF(D406=F406,"Yes","No"))</f>
        <v/>
      </c>
      <c r="I406" s="15"/>
      <c r="J406" s="15"/>
      <c r="K406" s="15"/>
      <c r="L406" s="15"/>
    </row>
    <row r="407" customFormat="false" ht="15" hidden="false" customHeight="false" outlineLevel="0" collapsed="false">
      <c r="A407" s="15"/>
      <c r="B407" s="15"/>
      <c r="C407" s="15"/>
      <c r="D407" s="15"/>
      <c r="E407" s="15"/>
      <c r="F407" s="15"/>
      <c r="G407" s="15"/>
      <c r="H407" s="16" t="str">
        <f aca="false">IF(OR(D407="",F407=""),"",IF(D407=F407,"Yes","No"))</f>
        <v/>
      </c>
      <c r="I407" s="15"/>
      <c r="J407" s="15"/>
      <c r="K407" s="15"/>
      <c r="L407" s="15"/>
    </row>
    <row r="408" customFormat="false" ht="15" hidden="false" customHeight="false" outlineLevel="0" collapsed="false">
      <c r="A408" s="15"/>
      <c r="B408" s="15"/>
      <c r="C408" s="15"/>
      <c r="D408" s="15"/>
      <c r="E408" s="15"/>
      <c r="F408" s="15"/>
      <c r="G408" s="15"/>
      <c r="H408" s="16" t="str">
        <f aca="false">IF(OR(D408="",F408=""),"",IF(D408=F408,"Yes","No"))</f>
        <v/>
      </c>
      <c r="I408" s="15"/>
      <c r="J408" s="15"/>
      <c r="K408" s="15"/>
      <c r="L408" s="15"/>
    </row>
    <row r="409" customFormat="false" ht="15" hidden="false" customHeight="false" outlineLevel="0" collapsed="false">
      <c r="A409" s="15"/>
      <c r="B409" s="15"/>
      <c r="C409" s="15"/>
      <c r="D409" s="15"/>
      <c r="E409" s="15"/>
      <c r="F409" s="15"/>
      <c r="G409" s="15"/>
      <c r="H409" s="16" t="str">
        <f aca="false">IF(OR(D409="",F409=""),"",IF(D409=F409,"Yes","No"))</f>
        <v/>
      </c>
      <c r="I409" s="15"/>
      <c r="J409" s="15"/>
      <c r="K409" s="15"/>
      <c r="L409" s="15"/>
    </row>
    <row r="410" customFormat="false" ht="15" hidden="false" customHeight="false" outlineLevel="0" collapsed="false">
      <c r="A410" s="15"/>
      <c r="B410" s="15"/>
      <c r="C410" s="15"/>
      <c r="D410" s="15"/>
      <c r="E410" s="15"/>
      <c r="F410" s="15"/>
      <c r="G410" s="15"/>
      <c r="H410" s="16" t="str">
        <f aca="false">IF(OR(D410="",F410=""),"",IF(D410=F410,"Yes","No"))</f>
        <v/>
      </c>
      <c r="I410" s="15"/>
      <c r="J410" s="15"/>
      <c r="K410" s="15"/>
      <c r="L410" s="15"/>
    </row>
    <row r="411" customFormat="false" ht="15" hidden="false" customHeight="false" outlineLevel="0" collapsed="false">
      <c r="A411" s="15"/>
      <c r="B411" s="15"/>
      <c r="C411" s="15"/>
      <c r="D411" s="15"/>
      <c r="E411" s="15"/>
      <c r="F411" s="15"/>
      <c r="G411" s="15"/>
      <c r="H411" s="16" t="str">
        <f aca="false">IF(OR(D411="",F411=""),"",IF(D411=F411,"Yes","No"))</f>
        <v/>
      </c>
      <c r="I411" s="15"/>
      <c r="J411" s="15"/>
      <c r="K411" s="15"/>
      <c r="L411" s="15"/>
    </row>
    <row r="412" customFormat="false" ht="15" hidden="false" customHeight="false" outlineLevel="0" collapsed="false">
      <c r="A412" s="15"/>
      <c r="B412" s="15"/>
      <c r="C412" s="15"/>
      <c r="D412" s="15"/>
      <c r="E412" s="15"/>
      <c r="F412" s="15"/>
      <c r="G412" s="15"/>
      <c r="H412" s="16" t="str">
        <f aca="false">IF(OR(D412="",F412=""),"",IF(D412=F412,"Yes","No"))</f>
        <v/>
      </c>
      <c r="I412" s="15"/>
      <c r="J412" s="15"/>
      <c r="K412" s="15"/>
      <c r="L412" s="15"/>
    </row>
    <row r="413" customFormat="false" ht="15" hidden="false" customHeight="false" outlineLevel="0" collapsed="false">
      <c r="A413" s="15"/>
      <c r="B413" s="15"/>
      <c r="C413" s="15"/>
      <c r="D413" s="15"/>
      <c r="E413" s="15"/>
      <c r="F413" s="15"/>
      <c r="G413" s="15"/>
      <c r="H413" s="16" t="str">
        <f aca="false">IF(OR(D413="",F413=""),"",IF(D413=F413,"Yes","No"))</f>
        <v/>
      </c>
      <c r="I413" s="15"/>
      <c r="J413" s="15"/>
      <c r="K413" s="15"/>
      <c r="L413" s="15"/>
    </row>
    <row r="414" customFormat="false" ht="15" hidden="false" customHeight="false" outlineLevel="0" collapsed="false">
      <c r="A414" s="15"/>
      <c r="B414" s="15"/>
      <c r="C414" s="15"/>
      <c r="D414" s="15"/>
      <c r="E414" s="15"/>
      <c r="F414" s="15"/>
      <c r="G414" s="15"/>
      <c r="H414" s="16" t="str">
        <f aca="false">IF(OR(D414="",F414=""),"",IF(D414=F414,"Yes","No"))</f>
        <v/>
      </c>
      <c r="I414" s="15"/>
      <c r="J414" s="15"/>
      <c r="K414" s="15"/>
      <c r="L414" s="15"/>
    </row>
    <row r="415" customFormat="false" ht="15" hidden="false" customHeight="false" outlineLevel="0" collapsed="false">
      <c r="A415" s="15"/>
      <c r="B415" s="15"/>
      <c r="C415" s="15"/>
      <c r="D415" s="15"/>
      <c r="E415" s="15"/>
      <c r="F415" s="15"/>
      <c r="G415" s="15"/>
      <c r="H415" s="16" t="str">
        <f aca="false">IF(OR(D415="",F415=""),"",IF(D415=F415,"Yes","No"))</f>
        <v/>
      </c>
      <c r="I415" s="15"/>
      <c r="J415" s="15"/>
      <c r="K415" s="15"/>
      <c r="L415" s="15"/>
    </row>
    <row r="416" customFormat="false" ht="15" hidden="false" customHeight="false" outlineLevel="0" collapsed="false">
      <c r="A416" s="15"/>
      <c r="B416" s="15"/>
      <c r="C416" s="15"/>
      <c r="D416" s="15"/>
      <c r="E416" s="15"/>
      <c r="F416" s="15"/>
      <c r="G416" s="15"/>
      <c r="H416" s="16" t="str">
        <f aca="false">IF(OR(D416="",F416=""),"",IF(D416=F416,"Yes","No"))</f>
        <v/>
      </c>
      <c r="I416" s="15"/>
      <c r="J416" s="15"/>
      <c r="K416" s="15"/>
      <c r="L416" s="15"/>
    </row>
    <row r="417" customFormat="false" ht="15" hidden="false" customHeight="false" outlineLevel="0" collapsed="false">
      <c r="A417" s="15"/>
      <c r="B417" s="15"/>
      <c r="C417" s="15"/>
      <c r="D417" s="15"/>
      <c r="E417" s="15"/>
      <c r="F417" s="15"/>
      <c r="G417" s="15"/>
      <c r="H417" s="16" t="str">
        <f aca="false">IF(OR(D417="",F417=""),"",IF(D417=F417,"Yes","No"))</f>
        <v/>
      </c>
      <c r="I417" s="15"/>
      <c r="J417" s="15"/>
      <c r="K417" s="15"/>
      <c r="L417" s="15"/>
    </row>
    <row r="418" customFormat="false" ht="15" hidden="false" customHeight="false" outlineLevel="0" collapsed="false">
      <c r="A418" s="15"/>
      <c r="B418" s="15"/>
      <c r="C418" s="15"/>
      <c r="D418" s="15"/>
      <c r="E418" s="15"/>
      <c r="F418" s="15"/>
      <c r="G418" s="15"/>
      <c r="H418" s="16" t="str">
        <f aca="false">IF(OR(D418="",F418=""),"",IF(D418=F418,"Yes","No"))</f>
        <v/>
      </c>
      <c r="I418" s="15"/>
      <c r="J418" s="15"/>
      <c r="K418" s="15"/>
      <c r="L418" s="15"/>
    </row>
    <row r="419" customFormat="false" ht="15" hidden="false" customHeight="false" outlineLevel="0" collapsed="false">
      <c r="A419" s="15"/>
      <c r="B419" s="15"/>
      <c r="C419" s="15"/>
      <c r="D419" s="15"/>
      <c r="E419" s="15"/>
      <c r="F419" s="15"/>
      <c r="G419" s="15"/>
      <c r="H419" s="16" t="str">
        <f aca="false">IF(OR(D419="",F419=""),"",IF(D419=F419,"Yes","No"))</f>
        <v/>
      </c>
      <c r="I419" s="15"/>
      <c r="J419" s="15"/>
      <c r="K419" s="15"/>
      <c r="L419" s="15"/>
    </row>
    <row r="420" customFormat="false" ht="15" hidden="false" customHeight="false" outlineLevel="0" collapsed="false">
      <c r="A420" s="15"/>
      <c r="B420" s="15"/>
      <c r="C420" s="15"/>
      <c r="D420" s="15"/>
      <c r="E420" s="15"/>
      <c r="F420" s="15"/>
      <c r="G420" s="15"/>
      <c r="H420" s="16" t="str">
        <f aca="false">IF(OR(D420="",F420=""),"",IF(D420=F420,"Yes","No"))</f>
        <v/>
      </c>
      <c r="I420" s="15"/>
      <c r="J420" s="15"/>
      <c r="K420" s="15"/>
      <c r="L420" s="15"/>
    </row>
    <row r="421" customFormat="false" ht="15" hidden="false" customHeight="false" outlineLevel="0" collapsed="false">
      <c r="A421" s="15"/>
      <c r="B421" s="15"/>
      <c r="C421" s="15"/>
      <c r="D421" s="15"/>
      <c r="E421" s="15"/>
      <c r="F421" s="15"/>
      <c r="G421" s="15"/>
      <c r="H421" s="16" t="str">
        <f aca="false">IF(OR(D421="",F421=""),"",IF(D421=F421,"Yes","No"))</f>
        <v/>
      </c>
      <c r="I421" s="15"/>
      <c r="J421" s="15"/>
      <c r="K421" s="15"/>
      <c r="L421" s="15"/>
    </row>
    <row r="422" customFormat="false" ht="15" hidden="false" customHeight="false" outlineLevel="0" collapsed="false">
      <c r="A422" s="15"/>
      <c r="B422" s="15"/>
      <c r="C422" s="15"/>
      <c r="D422" s="15"/>
      <c r="E422" s="15"/>
      <c r="F422" s="15"/>
      <c r="G422" s="15"/>
      <c r="H422" s="16" t="str">
        <f aca="false">IF(OR(D422="",F422=""),"",IF(D422=F422,"Yes","No"))</f>
        <v/>
      </c>
      <c r="I422" s="15"/>
      <c r="J422" s="15"/>
      <c r="K422" s="15"/>
      <c r="L422" s="15"/>
    </row>
    <row r="423" customFormat="false" ht="15" hidden="false" customHeight="false" outlineLevel="0" collapsed="false">
      <c r="A423" s="15"/>
      <c r="B423" s="15"/>
      <c r="C423" s="15"/>
      <c r="D423" s="15"/>
      <c r="E423" s="15"/>
      <c r="F423" s="15"/>
      <c r="G423" s="15"/>
      <c r="H423" s="16" t="str">
        <f aca="false">IF(OR(D423="",F423=""),"",IF(D423=F423,"Yes","No"))</f>
        <v/>
      </c>
      <c r="I423" s="15"/>
      <c r="J423" s="15"/>
      <c r="K423" s="15"/>
      <c r="L423" s="15"/>
    </row>
    <row r="424" customFormat="false" ht="15" hidden="false" customHeight="false" outlineLevel="0" collapsed="false">
      <c r="A424" s="15"/>
      <c r="B424" s="15"/>
      <c r="C424" s="15"/>
      <c r="D424" s="15"/>
      <c r="E424" s="15"/>
      <c r="F424" s="15"/>
      <c r="G424" s="15"/>
      <c r="H424" s="16" t="str">
        <f aca="false">IF(OR(D424="",F424=""),"",IF(D424=F424,"Yes","No"))</f>
        <v/>
      </c>
      <c r="I424" s="15"/>
      <c r="J424" s="15"/>
      <c r="K424" s="15"/>
      <c r="L424" s="15"/>
    </row>
    <row r="425" customFormat="false" ht="15" hidden="false" customHeight="false" outlineLevel="0" collapsed="false">
      <c r="A425" s="15"/>
      <c r="B425" s="15"/>
      <c r="C425" s="15"/>
      <c r="D425" s="15"/>
      <c r="E425" s="15"/>
      <c r="F425" s="15"/>
      <c r="G425" s="15"/>
      <c r="H425" s="16" t="str">
        <f aca="false">IF(OR(D425="",F425=""),"",IF(D425=F425,"Yes","No"))</f>
        <v/>
      </c>
      <c r="I425" s="15"/>
      <c r="J425" s="15"/>
      <c r="K425" s="15"/>
      <c r="L425" s="15"/>
    </row>
    <row r="426" customFormat="false" ht="15" hidden="false" customHeight="false" outlineLevel="0" collapsed="false">
      <c r="A426" s="15"/>
      <c r="B426" s="15"/>
      <c r="C426" s="15"/>
      <c r="D426" s="15"/>
      <c r="E426" s="15"/>
      <c r="F426" s="15"/>
      <c r="G426" s="15"/>
      <c r="H426" s="16" t="str">
        <f aca="false">IF(OR(D426="",F426=""),"",IF(D426=F426,"Yes","No"))</f>
        <v/>
      </c>
      <c r="I426" s="15"/>
      <c r="J426" s="15"/>
      <c r="K426" s="15"/>
      <c r="L426" s="15"/>
    </row>
    <row r="427" customFormat="false" ht="15" hidden="false" customHeight="false" outlineLevel="0" collapsed="false">
      <c r="A427" s="15"/>
      <c r="B427" s="15"/>
      <c r="C427" s="15"/>
      <c r="D427" s="15"/>
      <c r="E427" s="15"/>
      <c r="F427" s="15"/>
      <c r="G427" s="15"/>
      <c r="H427" s="16" t="str">
        <f aca="false">IF(OR(D427="",F427=""),"",IF(D427=F427,"Yes","No"))</f>
        <v/>
      </c>
      <c r="I427" s="15"/>
      <c r="J427" s="15"/>
      <c r="K427" s="15"/>
      <c r="L427" s="15"/>
    </row>
    <row r="428" customFormat="false" ht="15" hidden="false" customHeight="false" outlineLevel="0" collapsed="false">
      <c r="A428" s="15"/>
      <c r="B428" s="15"/>
      <c r="C428" s="15"/>
      <c r="D428" s="15"/>
      <c r="E428" s="15"/>
      <c r="F428" s="15"/>
      <c r="G428" s="15"/>
      <c r="H428" s="16" t="str">
        <f aca="false">IF(OR(D428="",F428=""),"",IF(D428=F428,"Yes","No"))</f>
        <v/>
      </c>
      <c r="I428" s="15"/>
      <c r="J428" s="15"/>
      <c r="K428" s="15"/>
      <c r="L428" s="15"/>
    </row>
    <row r="429" customFormat="false" ht="15" hidden="false" customHeight="false" outlineLevel="0" collapsed="false">
      <c r="A429" s="15"/>
      <c r="B429" s="15"/>
      <c r="C429" s="15"/>
      <c r="D429" s="15"/>
      <c r="E429" s="15"/>
      <c r="F429" s="15"/>
      <c r="G429" s="15"/>
      <c r="H429" s="16" t="str">
        <f aca="false">IF(OR(D429="",F429=""),"",IF(D429=F429,"Yes","No"))</f>
        <v/>
      </c>
      <c r="I429" s="15"/>
      <c r="J429" s="15"/>
      <c r="K429" s="15"/>
      <c r="L429" s="15"/>
    </row>
    <row r="430" customFormat="false" ht="15" hidden="false" customHeight="false" outlineLevel="0" collapsed="false">
      <c r="A430" s="15"/>
      <c r="B430" s="15"/>
      <c r="C430" s="15"/>
      <c r="D430" s="15"/>
      <c r="E430" s="15"/>
      <c r="F430" s="15"/>
      <c r="G430" s="15"/>
      <c r="H430" s="16" t="str">
        <f aca="false">IF(OR(D430="",F430=""),"",IF(D430=F430,"Yes","No"))</f>
        <v/>
      </c>
      <c r="I430" s="15"/>
      <c r="J430" s="15"/>
      <c r="K430" s="15"/>
      <c r="L430" s="15"/>
    </row>
    <row r="431" customFormat="false" ht="15" hidden="false" customHeight="false" outlineLevel="0" collapsed="false">
      <c r="A431" s="15"/>
      <c r="B431" s="15"/>
      <c r="C431" s="15"/>
      <c r="D431" s="15"/>
      <c r="E431" s="15"/>
      <c r="F431" s="15"/>
      <c r="G431" s="15"/>
      <c r="H431" s="16" t="str">
        <f aca="false">IF(OR(D431="",F431=""),"",IF(D431=F431,"Yes","No"))</f>
        <v/>
      </c>
      <c r="I431" s="15"/>
      <c r="J431" s="15"/>
      <c r="K431" s="15"/>
      <c r="L431" s="15"/>
    </row>
    <row r="432" customFormat="false" ht="15" hidden="false" customHeight="false" outlineLevel="0" collapsed="false">
      <c r="A432" s="15"/>
      <c r="B432" s="15"/>
      <c r="C432" s="15"/>
      <c r="D432" s="15"/>
      <c r="E432" s="15"/>
      <c r="F432" s="15"/>
      <c r="G432" s="15"/>
      <c r="H432" s="16" t="str">
        <f aca="false">IF(OR(D432="",F432=""),"",IF(D432=F432,"Yes","No"))</f>
        <v/>
      </c>
      <c r="I432" s="15"/>
      <c r="J432" s="15"/>
      <c r="K432" s="15"/>
      <c r="L432" s="15"/>
    </row>
    <row r="433" customFormat="false" ht="15" hidden="false" customHeight="false" outlineLevel="0" collapsed="false">
      <c r="A433" s="15"/>
      <c r="B433" s="15"/>
      <c r="C433" s="15"/>
      <c r="D433" s="15"/>
      <c r="E433" s="15"/>
      <c r="F433" s="15"/>
      <c r="G433" s="15"/>
      <c r="H433" s="16" t="str">
        <f aca="false">IF(OR(D433="",F433=""),"",IF(D433=F433,"Yes","No"))</f>
        <v/>
      </c>
      <c r="I433" s="15"/>
      <c r="J433" s="15"/>
      <c r="K433" s="15"/>
      <c r="L433" s="15"/>
    </row>
    <row r="434" customFormat="false" ht="15" hidden="false" customHeight="false" outlineLevel="0" collapsed="false">
      <c r="A434" s="15"/>
      <c r="B434" s="15"/>
      <c r="C434" s="15"/>
      <c r="D434" s="15"/>
      <c r="E434" s="15"/>
      <c r="F434" s="15"/>
      <c r="G434" s="15"/>
      <c r="H434" s="16" t="str">
        <f aca="false">IF(OR(D434="",F434=""),"",IF(D434=F434,"Yes","No"))</f>
        <v/>
      </c>
      <c r="I434" s="15"/>
      <c r="J434" s="15"/>
      <c r="K434" s="15"/>
      <c r="L434" s="15"/>
    </row>
    <row r="435" customFormat="false" ht="15" hidden="false" customHeight="false" outlineLevel="0" collapsed="false">
      <c r="A435" s="15"/>
      <c r="B435" s="15"/>
      <c r="C435" s="15"/>
      <c r="D435" s="15"/>
      <c r="E435" s="15"/>
      <c r="F435" s="15"/>
      <c r="G435" s="15"/>
      <c r="H435" s="16" t="str">
        <f aca="false">IF(OR(D435="",F435=""),"",IF(D435=F435,"Yes","No"))</f>
        <v/>
      </c>
      <c r="I435" s="15"/>
      <c r="J435" s="15"/>
      <c r="K435" s="15"/>
      <c r="L435" s="15"/>
    </row>
    <row r="436" customFormat="false" ht="15" hidden="false" customHeight="false" outlineLevel="0" collapsed="false">
      <c r="A436" s="15"/>
      <c r="B436" s="15"/>
      <c r="C436" s="15"/>
      <c r="D436" s="15"/>
      <c r="E436" s="15"/>
      <c r="F436" s="15"/>
      <c r="G436" s="15"/>
      <c r="H436" s="16" t="str">
        <f aca="false">IF(OR(D436="",F436=""),"",IF(D436=F436,"Yes","No"))</f>
        <v/>
      </c>
      <c r="I436" s="15"/>
      <c r="J436" s="15"/>
      <c r="K436" s="15"/>
      <c r="L436" s="15"/>
    </row>
    <row r="437" customFormat="false" ht="15" hidden="false" customHeight="false" outlineLevel="0" collapsed="false">
      <c r="A437" s="15"/>
      <c r="B437" s="15"/>
      <c r="C437" s="15"/>
      <c r="D437" s="15"/>
      <c r="E437" s="15"/>
      <c r="F437" s="15"/>
      <c r="G437" s="15"/>
      <c r="H437" s="16" t="str">
        <f aca="false">IF(OR(D437="",F437=""),"",IF(D437=F437,"Yes","No"))</f>
        <v/>
      </c>
      <c r="I437" s="15"/>
      <c r="J437" s="15"/>
      <c r="K437" s="15"/>
      <c r="L437" s="15"/>
    </row>
    <row r="438" customFormat="false" ht="15" hidden="false" customHeight="false" outlineLevel="0" collapsed="false">
      <c r="A438" s="15"/>
      <c r="B438" s="15"/>
      <c r="C438" s="15"/>
      <c r="D438" s="15"/>
      <c r="E438" s="15"/>
      <c r="F438" s="15"/>
      <c r="G438" s="15"/>
      <c r="H438" s="16" t="str">
        <f aca="false">IF(OR(D438="",F438=""),"",IF(D438=F438,"Yes","No"))</f>
        <v/>
      </c>
      <c r="I438" s="15"/>
      <c r="J438" s="15"/>
      <c r="K438" s="15"/>
      <c r="L438" s="15"/>
    </row>
    <row r="439" customFormat="false" ht="15" hidden="false" customHeight="false" outlineLevel="0" collapsed="false">
      <c r="A439" s="15"/>
      <c r="B439" s="15"/>
      <c r="C439" s="15"/>
      <c r="D439" s="15"/>
      <c r="E439" s="15"/>
      <c r="F439" s="15"/>
      <c r="G439" s="15"/>
      <c r="H439" s="16" t="str">
        <f aca="false">IF(OR(D439="",F439=""),"",IF(D439=F439,"Yes","No"))</f>
        <v/>
      </c>
      <c r="I439" s="15"/>
      <c r="J439" s="15"/>
      <c r="K439" s="15"/>
      <c r="L439" s="15"/>
    </row>
    <row r="440" customFormat="false" ht="15" hidden="false" customHeight="false" outlineLevel="0" collapsed="false">
      <c r="A440" s="15"/>
      <c r="B440" s="15"/>
      <c r="C440" s="15"/>
      <c r="D440" s="15"/>
      <c r="E440" s="15"/>
      <c r="F440" s="15"/>
      <c r="G440" s="15"/>
      <c r="H440" s="16" t="str">
        <f aca="false">IF(OR(D440="",F440=""),"",IF(D440=F440,"Yes","No"))</f>
        <v/>
      </c>
      <c r="I440" s="15"/>
      <c r="J440" s="15"/>
      <c r="K440" s="15"/>
      <c r="L440" s="15"/>
    </row>
    <row r="441" customFormat="false" ht="15" hidden="false" customHeight="false" outlineLevel="0" collapsed="false">
      <c r="A441" s="15"/>
      <c r="B441" s="15"/>
      <c r="C441" s="15"/>
      <c r="D441" s="15"/>
      <c r="E441" s="15"/>
      <c r="F441" s="15"/>
      <c r="G441" s="15"/>
      <c r="H441" s="16" t="str">
        <f aca="false">IF(OR(D441="",F441=""),"",IF(D441=F441,"Yes","No"))</f>
        <v/>
      </c>
      <c r="I441" s="15"/>
      <c r="J441" s="15"/>
      <c r="K441" s="15"/>
      <c r="L441" s="15"/>
    </row>
    <row r="442" customFormat="false" ht="15" hidden="false" customHeight="false" outlineLevel="0" collapsed="false">
      <c r="A442" s="15"/>
      <c r="B442" s="15"/>
      <c r="C442" s="15"/>
      <c r="D442" s="15"/>
      <c r="E442" s="15"/>
      <c r="F442" s="15"/>
      <c r="G442" s="15"/>
      <c r="H442" s="16" t="str">
        <f aca="false">IF(OR(D442="",F442=""),"",IF(D442=F442,"Yes","No"))</f>
        <v/>
      </c>
      <c r="I442" s="15"/>
      <c r="J442" s="15"/>
      <c r="K442" s="15"/>
      <c r="L442" s="15"/>
    </row>
    <row r="443" customFormat="false" ht="15" hidden="false" customHeight="false" outlineLevel="0" collapsed="false">
      <c r="A443" s="15"/>
      <c r="B443" s="15"/>
      <c r="C443" s="15"/>
      <c r="D443" s="15"/>
      <c r="E443" s="15"/>
      <c r="F443" s="15"/>
      <c r="G443" s="15"/>
      <c r="H443" s="16" t="str">
        <f aca="false">IF(OR(D443="",F443=""),"",IF(D443=F443,"Yes","No"))</f>
        <v/>
      </c>
      <c r="I443" s="15"/>
      <c r="J443" s="15"/>
      <c r="K443" s="15"/>
      <c r="L443" s="15"/>
    </row>
    <row r="444" customFormat="false" ht="15" hidden="false" customHeight="false" outlineLevel="0" collapsed="false">
      <c r="A444" s="15"/>
      <c r="B444" s="15"/>
      <c r="C444" s="15"/>
      <c r="D444" s="15"/>
      <c r="E444" s="15"/>
      <c r="F444" s="15"/>
      <c r="G444" s="15"/>
      <c r="H444" s="16" t="str">
        <f aca="false">IF(OR(D444="",F444=""),"",IF(D444=F444,"Yes","No"))</f>
        <v/>
      </c>
      <c r="I444" s="15"/>
      <c r="J444" s="15"/>
      <c r="K444" s="15"/>
      <c r="L444" s="15"/>
    </row>
    <row r="445" customFormat="false" ht="15" hidden="false" customHeight="false" outlineLevel="0" collapsed="false">
      <c r="A445" s="15"/>
      <c r="B445" s="15"/>
      <c r="C445" s="15"/>
      <c r="D445" s="15"/>
      <c r="E445" s="15"/>
      <c r="F445" s="15"/>
      <c r="G445" s="15"/>
      <c r="H445" s="16" t="str">
        <f aca="false">IF(OR(D445="",F445=""),"",IF(D445=F445,"Yes","No"))</f>
        <v/>
      </c>
      <c r="I445" s="15"/>
      <c r="J445" s="15"/>
      <c r="K445" s="15"/>
      <c r="L445" s="15"/>
    </row>
    <row r="446" customFormat="false" ht="15" hidden="false" customHeight="false" outlineLevel="0" collapsed="false">
      <c r="A446" s="15"/>
      <c r="B446" s="15"/>
      <c r="C446" s="15"/>
      <c r="D446" s="15"/>
      <c r="E446" s="15"/>
      <c r="F446" s="15"/>
      <c r="G446" s="15"/>
      <c r="H446" s="16" t="str">
        <f aca="false">IF(OR(D446="",F446=""),"",IF(D446=F446,"Yes","No"))</f>
        <v/>
      </c>
      <c r="I446" s="15"/>
      <c r="J446" s="15"/>
      <c r="K446" s="15"/>
      <c r="L446" s="15"/>
    </row>
    <row r="447" customFormat="false" ht="15" hidden="false" customHeight="false" outlineLevel="0" collapsed="false">
      <c r="A447" s="15"/>
      <c r="B447" s="15"/>
      <c r="C447" s="15"/>
      <c r="D447" s="15"/>
      <c r="E447" s="15"/>
      <c r="F447" s="15"/>
      <c r="G447" s="15"/>
      <c r="H447" s="16" t="str">
        <f aca="false">IF(OR(D447="",F447=""),"",IF(D447=F447,"Yes","No"))</f>
        <v/>
      </c>
      <c r="I447" s="15"/>
      <c r="J447" s="15"/>
      <c r="K447" s="15"/>
      <c r="L447" s="15"/>
    </row>
    <row r="448" customFormat="false" ht="15" hidden="false" customHeight="false" outlineLevel="0" collapsed="false">
      <c r="A448" s="15"/>
      <c r="B448" s="15"/>
      <c r="C448" s="15"/>
      <c r="D448" s="15"/>
      <c r="E448" s="15"/>
      <c r="F448" s="15"/>
      <c r="G448" s="15"/>
      <c r="H448" s="16" t="str">
        <f aca="false">IF(OR(D448="",F448=""),"",IF(D448=F448,"Yes","No"))</f>
        <v/>
      </c>
      <c r="I448" s="15"/>
      <c r="J448" s="15"/>
      <c r="K448" s="15"/>
      <c r="L448" s="15"/>
    </row>
    <row r="449" customFormat="false" ht="15" hidden="false" customHeight="false" outlineLevel="0" collapsed="false">
      <c r="A449" s="15"/>
      <c r="B449" s="15"/>
      <c r="C449" s="15"/>
      <c r="D449" s="15"/>
      <c r="E449" s="15"/>
      <c r="F449" s="15"/>
      <c r="G449" s="15"/>
      <c r="H449" s="16" t="str">
        <f aca="false">IF(OR(D449="",F449=""),"",IF(D449=F449,"Yes","No"))</f>
        <v/>
      </c>
      <c r="I449" s="15"/>
      <c r="J449" s="15"/>
      <c r="K449" s="15"/>
      <c r="L449" s="15"/>
    </row>
    <row r="450" customFormat="false" ht="15" hidden="false" customHeight="false" outlineLevel="0" collapsed="false">
      <c r="A450" s="15"/>
      <c r="B450" s="15"/>
      <c r="C450" s="15"/>
      <c r="D450" s="15"/>
      <c r="E450" s="15"/>
      <c r="F450" s="15"/>
      <c r="G450" s="15"/>
      <c r="H450" s="16" t="str">
        <f aca="false">IF(OR(D450="",F450=""),"",IF(D450=F450,"Yes","No"))</f>
        <v/>
      </c>
      <c r="I450" s="15"/>
      <c r="J450" s="15"/>
      <c r="K450" s="15"/>
      <c r="L450" s="15"/>
    </row>
    <row r="451" customFormat="false" ht="15" hidden="false" customHeight="false" outlineLevel="0" collapsed="false">
      <c r="A451" s="15"/>
      <c r="B451" s="15"/>
      <c r="C451" s="15"/>
      <c r="D451" s="15"/>
      <c r="E451" s="15"/>
      <c r="F451" s="15"/>
      <c r="G451" s="15"/>
      <c r="H451" s="16" t="str">
        <f aca="false">IF(OR(D451="",F451=""),"",IF(D451=F451,"Yes","No"))</f>
        <v/>
      </c>
      <c r="I451" s="15"/>
      <c r="J451" s="15"/>
      <c r="K451" s="15"/>
      <c r="L451" s="15"/>
    </row>
    <row r="452" customFormat="false" ht="15" hidden="false" customHeight="false" outlineLevel="0" collapsed="false">
      <c r="A452" s="15"/>
      <c r="B452" s="15"/>
      <c r="C452" s="15"/>
      <c r="D452" s="15"/>
      <c r="E452" s="15"/>
      <c r="F452" s="15"/>
      <c r="G452" s="15"/>
      <c r="H452" s="16" t="str">
        <f aca="false">IF(OR(D452="",F452=""),"",IF(D452=F452,"Yes","No"))</f>
        <v/>
      </c>
      <c r="I452" s="15"/>
      <c r="J452" s="15"/>
      <c r="K452" s="15"/>
      <c r="L452" s="15"/>
    </row>
    <row r="453" customFormat="false" ht="15" hidden="false" customHeight="false" outlineLevel="0" collapsed="false">
      <c r="A453" s="15"/>
      <c r="B453" s="15"/>
      <c r="C453" s="15"/>
      <c r="D453" s="15"/>
      <c r="E453" s="15"/>
      <c r="F453" s="15"/>
      <c r="G453" s="15"/>
      <c r="H453" s="16" t="str">
        <f aca="false">IF(OR(D453="",F453=""),"",IF(D453=F453,"Yes","No"))</f>
        <v/>
      </c>
      <c r="I453" s="15"/>
      <c r="J453" s="15"/>
      <c r="K453" s="15"/>
      <c r="L453" s="15"/>
    </row>
    <row r="454" customFormat="false" ht="15" hidden="false" customHeight="false" outlineLevel="0" collapsed="false">
      <c r="A454" s="15"/>
      <c r="B454" s="15"/>
      <c r="C454" s="15"/>
      <c r="D454" s="15"/>
      <c r="E454" s="15"/>
      <c r="F454" s="15"/>
      <c r="G454" s="15"/>
      <c r="H454" s="16" t="str">
        <f aca="false">IF(OR(D454="",F454=""),"",IF(D454=F454,"Yes","No"))</f>
        <v/>
      </c>
      <c r="I454" s="15"/>
      <c r="J454" s="15"/>
      <c r="K454" s="15"/>
      <c r="L454" s="15"/>
    </row>
    <row r="455" customFormat="false" ht="15" hidden="false" customHeight="false" outlineLevel="0" collapsed="false">
      <c r="A455" s="15"/>
      <c r="B455" s="15"/>
      <c r="C455" s="15"/>
      <c r="D455" s="15"/>
      <c r="E455" s="15"/>
      <c r="F455" s="15"/>
      <c r="G455" s="15"/>
      <c r="H455" s="16" t="str">
        <f aca="false">IF(OR(D455="",F455=""),"",IF(D455=F455,"Yes","No"))</f>
        <v/>
      </c>
      <c r="I455" s="15"/>
      <c r="J455" s="15"/>
      <c r="K455" s="15"/>
      <c r="L455" s="15"/>
    </row>
    <row r="456" customFormat="false" ht="15" hidden="false" customHeight="false" outlineLevel="0" collapsed="false">
      <c r="A456" s="15"/>
      <c r="B456" s="15"/>
      <c r="C456" s="15"/>
      <c r="D456" s="15"/>
      <c r="E456" s="15"/>
      <c r="F456" s="15"/>
      <c r="G456" s="15"/>
      <c r="H456" s="16" t="str">
        <f aca="false">IF(OR(D456="",F456=""),"",IF(D456=F456,"Yes","No"))</f>
        <v/>
      </c>
      <c r="I456" s="15"/>
      <c r="J456" s="15"/>
      <c r="K456" s="15"/>
      <c r="L456" s="15"/>
    </row>
    <row r="457" customFormat="false" ht="15" hidden="false" customHeight="false" outlineLevel="0" collapsed="false">
      <c r="A457" s="15"/>
      <c r="B457" s="15"/>
      <c r="C457" s="15"/>
      <c r="D457" s="15"/>
      <c r="E457" s="15"/>
      <c r="F457" s="15"/>
      <c r="G457" s="15"/>
      <c r="H457" s="16" t="str">
        <f aca="false">IF(OR(D457="",F457=""),"",IF(D457=F457,"Yes","No"))</f>
        <v/>
      </c>
      <c r="I457" s="15"/>
      <c r="J457" s="15"/>
      <c r="K457" s="15"/>
      <c r="L457" s="15"/>
    </row>
    <row r="458" customFormat="false" ht="15" hidden="false" customHeight="false" outlineLevel="0" collapsed="false">
      <c r="A458" s="15"/>
      <c r="B458" s="15"/>
      <c r="C458" s="15"/>
      <c r="D458" s="15"/>
      <c r="E458" s="15"/>
      <c r="F458" s="15"/>
      <c r="G458" s="15"/>
      <c r="H458" s="16" t="str">
        <f aca="false">IF(OR(D458="",F458=""),"",IF(D458=F458,"Yes","No"))</f>
        <v/>
      </c>
      <c r="I458" s="15"/>
      <c r="J458" s="15"/>
      <c r="K458" s="15"/>
      <c r="L458" s="15"/>
    </row>
    <row r="459" customFormat="false" ht="15" hidden="false" customHeight="false" outlineLevel="0" collapsed="false">
      <c r="A459" s="15"/>
      <c r="B459" s="15"/>
      <c r="C459" s="15"/>
      <c r="D459" s="15"/>
      <c r="E459" s="15"/>
      <c r="F459" s="15"/>
      <c r="G459" s="15"/>
      <c r="H459" s="16" t="str">
        <f aca="false">IF(OR(D459="",F459=""),"",IF(D459=F459,"Yes","No"))</f>
        <v/>
      </c>
      <c r="I459" s="15"/>
      <c r="J459" s="15"/>
      <c r="K459" s="15"/>
      <c r="L459" s="15"/>
    </row>
    <row r="460" customFormat="false" ht="15" hidden="false" customHeight="false" outlineLevel="0" collapsed="false">
      <c r="A460" s="15"/>
      <c r="B460" s="15"/>
      <c r="C460" s="15"/>
      <c r="D460" s="15"/>
      <c r="E460" s="15"/>
      <c r="F460" s="15"/>
      <c r="G460" s="15"/>
      <c r="H460" s="16" t="str">
        <f aca="false">IF(OR(D460="",F460=""),"",IF(D460=F460,"Yes","No"))</f>
        <v/>
      </c>
      <c r="I460" s="15"/>
      <c r="J460" s="15"/>
      <c r="K460" s="15"/>
      <c r="L460" s="15"/>
    </row>
    <row r="461" customFormat="false" ht="15" hidden="false" customHeight="false" outlineLevel="0" collapsed="false">
      <c r="A461" s="15"/>
      <c r="B461" s="15"/>
      <c r="C461" s="15"/>
      <c r="D461" s="15"/>
      <c r="E461" s="15"/>
      <c r="F461" s="15"/>
      <c r="G461" s="15"/>
      <c r="H461" s="16" t="str">
        <f aca="false">IF(OR(D461="",F461=""),"",IF(D461=F461,"Yes","No"))</f>
        <v/>
      </c>
      <c r="I461" s="15"/>
      <c r="J461" s="15"/>
      <c r="K461" s="15"/>
      <c r="L461" s="15"/>
    </row>
    <row r="462" customFormat="false" ht="15" hidden="false" customHeight="false" outlineLevel="0" collapsed="false">
      <c r="A462" s="15"/>
      <c r="B462" s="15"/>
      <c r="C462" s="15"/>
      <c r="D462" s="15"/>
      <c r="E462" s="15"/>
      <c r="F462" s="15"/>
      <c r="G462" s="15"/>
      <c r="H462" s="16" t="str">
        <f aca="false">IF(OR(D462="",F462=""),"",IF(D462=F462,"Yes","No"))</f>
        <v/>
      </c>
      <c r="I462" s="15"/>
      <c r="J462" s="15"/>
      <c r="K462" s="15"/>
      <c r="L462" s="15"/>
    </row>
    <row r="463" customFormat="false" ht="15" hidden="false" customHeight="false" outlineLevel="0" collapsed="false">
      <c r="A463" s="15"/>
      <c r="B463" s="15"/>
      <c r="C463" s="15"/>
      <c r="D463" s="15"/>
      <c r="E463" s="15"/>
      <c r="F463" s="15"/>
      <c r="G463" s="15"/>
      <c r="H463" s="16" t="str">
        <f aca="false">IF(OR(D463="",F463=""),"",IF(D463=F463,"Yes","No"))</f>
        <v/>
      </c>
      <c r="I463" s="15"/>
      <c r="J463" s="15"/>
      <c r="K463" s="15"/>
      <c r="L463" s="15"/>
    </row>
    <row r="464" customFormat="false" ht="15" hidden="false" customHeight="false" outlineLevel="0" collapsed="false">
      <c r="A464" s="15"/>
      <c r="B464" s="15"/>
      <c r="C464" s="15"/>
      <c r="D464" s="15"/>
      <c r="E464" s="15"/>
      <c r="F464" s="15"/>
      <c r="G464" s="15"/>
      <c r="H464" s="16" t="str">
        <f aca="false">IF(OR(D464="",F464=""),"",IF(D464=F464,"Yes","No"))</f>
        <v/>
      </c>
      <c r="I464" s="15"/>
      <c r="J464" s="15"/>
      <c r="K464" s="15"/>
      <c r="L464" s="15"/>
    </row>
    <row r="465" customFormat="false" ht="15" hidden="false" customHeight="false" outlineLevel="0" collapsed="false">
      <c r="A465" s="15"/>
      <c r="B465" s="15"/>
      <c r="C465" s="15"/>
      <c r="D465" s="15"/>
      <c r="E465" s="15"/>
      <c r="F465" s="15"/>
      <c r="G465" s="15"/>
      <c r="H465" s="16" t="str">
        <f aca="false">IF(OR(D465="",F465=""),"",IF(D465=F465,"Yes","No"))</f>
        <v/>
      </c>
      <c r="I465" s="15"/>
      <c r="J465" s="15"/>
      <c r="K465" s="15"/>
      <c r="L465" s="15"/>
    </row>
    <row r="466" customFormat="false" ht="15" hidden="false" customHeight="false" outlineLevel="0" collapsed="false">
      <c r="A466" s="15"/>
      <c r="B466" s="15"/>
      <c r="C466" s="15"/>
      <c r="D466" s="15"/>
      <c r="E466" s="15"/>
      <c r="F466" s="15"/>
      <c r="G466" s="15"/>
      <c r="H466" s="16" t="str">
        <f aca="false">IF(OR(D466="",F466=""),"",IF(D466=F466,"Yes","No"))</f>
        <v/>
      </c>
      <c r="I466" s="15"/>
      <c r="J466" s="15"/>
      <c r="K466" s="15"/>
      <c r="L466" s="15"/>
    </row>
    <row r="467" customFormat="false" ht="15" hidden="false" customHeight="false" outlineLevel="0" collapsed="false">
      <c r="A467" s="15"/>
      <c r="B467" s="15"/>
      <c r="C467" s="15"/>
      <c r="D467" s="15"/>
      <c r="E467" s="15"/>
      <c r="F467" s="15"/>
      <c r="G467" s="15"/>
      <c r="H467" s="16" t="str">
        <f aca="false">IF(OR(D467="",F467=""),"",IF(D467=F467,"Yes","No"))</f>
        <v/>
      </c>
      <c r="I467" s="15"/>
      <c r="J467" s="15"/>
      <c r="K467" s="15"/>
      <c r="L467" s="15"/>
    </row>
    <row r="468" customFormat="false" ht="15" hidden="false" customHeight="false" outlineLevel="0" collapsed="false">
      <c r="A468" s="15"/>
      <c r="B468" s="15"/>
      <c r="C468" s="15"/>
      <c r="D468" s="15"/>
      <c r="E468" s="15"/>
      <c r="F468" s="15"/>
      <c r="G468" s="15"/>
      <c r="H468" s="16" t="str">
        <f aca="false">IF(OR(D468="",F468=""),"",IF(D468=F468,"Yes","No"))</f>
        <v/>
      </c>
      <c r="I468" s="15"/>
      <c r="J468" s="15"/>
      <c r="K468" s="15"/>
      <c r="L468" s="15"/>
    </row>
    <row r="469" customFormat="false" ht="15" hidden="false" customHeight="false" outlineLevel="0" collapsed="false">
      <c r="A469" s="15"/>
      <c r="B469" s="15"/>
      <c r="C469" s="15"/>
      <c r="D469" s="15"/>
      <c r="E469" s="15"/>
      <c r="F469" s="15"/>
      <c r="G469" s="15"/>
      <c r="H469" s="16" t="str">
        <f aca="false">IF(OR(D469="",F469=""),"",IF(D469=F469,"Yes","No"))</f>
        <v/>
      </c>
      <c r="I469" s="15"/>
      <c r="J469" s="15"/>
      <c r="K469" s="15"/>
      <c r="L469" s="15"/>
    </row>
    <row r="470" customFormat="false" ht="15" hidden="false" customHeight="false" outlineLevel="0" collapsed="false">
      <c r="A470" s="15"/>
      <c r="B470" s="15"/>
      <c r="C470" s="15"/>
      <c r="D470" s="15"/>
      <c r="E470" s="15"/>
      <c r="F470" s="15"/>
      <c r="G470" s="15"/>
      <c r="H470" s="16" t="str">
        <f aca="false">IF(OR(D470="",F470=""),"",IF(D470=F470,"Yes","No"))</f>
        <v/>
      </c>
      <c r="I470" s="15"/>
      <c r="J470" s="15"/>
      <c r="K470" s="15"/>
      <c r="L470" s="15"/>
    </row>
    <row r="471" customFormat="false" ht="15" hidden="false" customHeight="false" outlineLevel="0" collapsed="false">
      <c r="A471" s="15"/>
      <c r="B471" s="15"/>
      <c r="C471" s="15"/>
      <c r="D471" s="15"/>
      <c r="E471" s="15"/>
      <c r="F471" s="15"/>
      <c r="G471" s="15"/>
      <c r="H471" s="16" t="str">
        <f aca="false">IF(OR(D471="",F471=""),"",IF(D471=F471,"Yes","No"))</f>
        <v/>
      </c>
      <c r="I471" s="15"/>
      <c r="J471" s="15"/>
      <c r="K471" s="15"/>
      <c r="L471" s="15"/>
    </row>
    <row r="472" customFormat="false" ht="15" hidden="false" customHeight="false" outlineLevel="0" collapsed="false">
      <c r="A472" s="15"/>
      <c r="B472" s="15"/>
      <c r="C472" s="15"/>
      <c r="D472" s="15"/>
      <c r="E472" s="15"/>
      <c r="F472" s="15"/>
      <c r="G472" s="15"/>
      <c r="H472" s="16" t="str">
        <f aca="false">IF(OR(D472="",F472=""),"",IF(D472=F472,"Yes","No"))</f>
        <v/>
      </c>
      <c r="I472" s="15"/>
      <c r="J472" s="15"/>
      <c r="K472" s="15"/>
      <c r="L472" s="15"/>
    </row>
    <row r="473" customFormat="false" ht="15" hidden="false" customHeight="false" outlineLevel="0" collapsed="false">
      <c r="A473" s="15"/>
      <c r="B473" s="15"/>
      <c r="C473" s="15"/>
      <c r="D473" s="15"/>
      <c r="E473" s="15"/>
      <c r="F473" s="15"/>
      <c r="G473" s="15"/>
      <c r="H473" s="16" t="str">
        <f aca="false">IF(OR(D473="",F473=""),"",IF(D473=F473,"Yes","No"))</f>
        <v/>
      </c>
      <c r="I473" s="15"/>
      <c r="J473" s="15"/>
      <c r="K473" s="15"/>
      <c r="L473" s="15"/>
    </row>
    <row r="474" customFormat="false" ht="15" hidden="false" customHeight="false" outlineLevel="0" collapsed="false">
      <c r="A474" s="15"/>
      <c r="B474" s="15"/>
      <c r="C474" s="15"/>
      <c r="D474" s="15"/>
      <c r="E474" s="15"/>
      <c r="F474" s="15"/>
      <c r="G474" s="15"/>
      <c r="H474" s="16" t="str">
        <f aca="false">IF(OR(D474="",F474=""),"",IF(D474=F474,"Yes","No"))</f>
        <v/>
      </c>
      <c r="I474" s="15"/>
      <c r="J474" s="15"/>
      <c r="K474" s="15"/>
      <c r="L474" s="15"/>
    </row>
    <row r="475" customFormat="false" ht="15" hidden="false" customHeight="false" outlineLevel="0" collapsed="false">
      <c r="A475" s="15"/>
      <c r="B475" s="15"/>
      <c r="C475" s="15"/>
      <c r="D475" s="15"/>
      <c r="E475" s="15"/>
      <c r="F475" s="15"/>
      <c r="G475" s="15"/>
      <c r="H475" s="16" t="str">
        <f aca="false">IF(OR(D475="",F475=""),"",IF(D475=F475,"Yes","No"))</f>
        <v/>
      </c>
      <c r="I475" s="15"/>
      <c r="J475" s="15"/>
      <c r="K475" s="15"/>
      <c r="L475" s="15"/>
    </row>
    <row r="476" customFormat="false" ht="15" hidden="false" customHeight="false" outlineLevel="0" collapsed="false">
      <c r="A476" s="15"/>
      <c r="B476" s="15"/>
      <c r="C476" s="15"/>
      <c r="D476" s="15"/>
      <c r="E476" s="15"/>
      <c r="F476" s="15"/>
      <c r="G476" s="15"/>
      <c r="H476" s="16" t="str">
        <f aca="false">IF(OR(D476="",F476=""),"",IF(D476=F476,"Yes","No"))</f>
        <v/>
      </c>
      <c r="I476" s="15"/>
      <c r="J476" s="15"/>
      <c r="K476" s="15"/>
      <c r="L476" s="15"/>
    </row>
    <row r="477" customFormat="false" ht="15" hidden="false" customHeight="false" outlineLevel="0" collapsed="false">
      <c r="A477" s="15"/>
      <c r="B477" s="15"/>
      <c r="C477" s="15"/>
      <c r="D477" s="15"/>
      <c r="E477" s="15"/>
      <c r="F477" s="15"/>
      <c r="G477" s="15"/>
      <c r="H477" s="16" t="str">
        <f aca="false">IF(OR(D477="",F477=""),"",IF(D477=F477,"Yes","No"))</f>
        <v/>
      </c>
      <c r="I477" s="15"/>
      <c r="J477" s="15"/>
      <c r="K477" s="15"/>
      <c r="L477" s="15"/>
    </row>
    <row r="478" customFormat="false" ht="15" hidden="false" customHeight="false" outlineLevel="0" collapsed="false">
      <c r="A478" s="15"/>
      <c r="B478" s="15"/>
      <c r="C478" s="15"/>
      <c r="D478" s="15"/>
      <c r="E478" s="15"/>
      <c r="F478" s="15"/>
      <c r="G478" s="15"/>
      <c r="H478" s="16" t="str">
        <f aca="false">IF(OR(D478="",F478=""),"",IF(D478=F478,"Yes","No"))</f>
        <v/>
      </c>
      <c r="I478" s="15"/>
      <c r="J478" s="15"/>
      <c r="K478" s="15"/>
      <c r="L478" s="15"/>
    </row>
    <row r="479" customFormat="false" ht="15" hidden="false" customHeight="false" outlineLevel="0" collapsed="false">
      <c r="A479" s="15"/>
      <c r="B479" s="15"/>
      <c r="C479" s="15"/>
      <c r="D479" s="15"/>
      <c r="E479" s="15"/>
      <c r="F479" s="15"/>
      <c r="G479" s="15"/>
      <c r="H479" s="16" t="str">
        <f aca="false">IF(OR(D479="",F479=""),"",IF(D479=F479,"Yes","No"))</f>
        <v/>
      </c>
      <c r="I479" s="15"/>
      <c r="J479" s="15"/>
      <c r="K479" s="15"/>
      <c r="L479" s="15"/>
    </row>
    <row r="480" customFormat="false" ht="15" hidden="false" customHeight="false" outlineLevel="0" collapsed="false">
      <c r="A480" s="15"/>
      <c r="B480" s="15"/>
      <c r="C480" s="15"/>
      <c r="D480" s="15"/>
      <c r="E480" s="15"/>
      <c r="F480" s="15"/>
      <c r="G480" s="15"/>
      <c r="H480" s="16" t="str">
        <f aca="false">IF(OR(D480="",F480=""),"",IF(D480=F480,"Yes","No"))</f>
        <v/>
      </c>
      <c r="I480" s="15"/>
      <c r="J480" s="15"/>
      <c r="K480" s="15"/>
      <c r="L480" s="15"/>
    </row>
    <row r="481" customFormat="false" ht="15" hidden="false" customHeight="false" outlineLevel="0" collapsed="false">
      <c r="A481" s="15"/>
      <c r="B481" s="15"/>
      <c r="C481" s="15"/>
      <c r="D481" s="15"/>
      <c r="E481" s="15"/>
      <c r="F481" s="15"/>
      <c r="G481" s="15"/>
      <c r="H481" s="16" t="str">
        <f aca="false">IF(OR(D481="",F481=""),"",IF(D481=F481,"Yes","No"))</f>
        <v/>
      </c>
      <c r="I481" s="15"/>
      <c r="J481" s="15"/>
      <c r="K481" s="15"/>
      <c r="L481" s="15"/>
    </row>
    <row r="482" customFormat="false" ht="15" hidden="false" customHeight="false" outlineLevel="0" collapsed="false">
      <c r="A482" s="15"/>
      <c r="B482" s="15"/>
      <c r="C482" s="15"/>
      <c r="D482" s="15"/>
      <c r="E482" s="15"/>
      <c r="F482" s="15"/>
      <c r="G482" s="15"/>
      <c r="H482" s="16" t="str">
        <f aca="false">IF(OR(D482="",F482=""),"",IF(D482=F482,"Yes","No"))</f>
        <v/>
      </c>
      <c r="I482" s="15"/>
      <c r="J482" s="15"/>
      <c r="K482" s="15"/>
      <c r="L482" s="15"/>
    </row>
    <row r="483" customFormat="false" ht="15" hidden="false" customHeight="false" outlineLevel="0" collapsed="false">
      <c r="A483" s="15"/>
      <c r="B483" s="15"/>
      <c r="C483" s="15"/>
      <c r="D483" s="15"/>
      <c r="E483" s="15"/>
      <c r="F483" s="15"/>
      <c r="G483" s="15"/>
      <c r="H483" s="16" t="str">
        <f aca="false">IF(OR(D483="",F483=""),"",IF(D483=F483,"Yes","No"))</f>
        <v/>
      </c>
      <c r="I483" s="15"/>
      <c r="J483" s="15"/>
      <c r="K483" s="15"/>
      <c r="L483" s="15"/>
    </row>
    <row r="484" customFormat="false" ht="15" hidden="false" customHeight="false" outlineLevel="0" collapsed="false">
      <c r="A484" s="15"/>
      <c r="B484" s="15"/>
      <c r="C484" s="15"/>
      <c r="D484" s="15"/>
      <c r="E484" s="15"/>
      <c r="F484" s="15"/>
      <c r="G484" s="15"/>
      <c r="H484" s="16" t="str">
        <f aca="false">IF(OR(D484="",F484=""),"",IF(D484=F484,"Yes","No"))</f>
        <v/>
      </c>
      <c r="I484" s="15"/>
      <c r="J484" s="15"/>
      <c r="K484" s="15"/>
      <c r="L484" s="15"/>
    </row>
    <row r="485" customFormat="false" ht="15" hidden="false" customHeight="false" outlineLevel="0" collapsed="false">
      <c r="A485" s="15"/>
      <c r="B485" s="15"/>
      <c r="C485" s="15"/>
      <c r="D485" s="15"/>
      <c r="E485" s="15"/>
      <c r="F485" s="15"/>
      <c r="G485" s="15"/>
      <c r="H485" s="16" t="str">
        <f aca="false">IF(OR(D485="",F485=""),"",IF(D485=F485,"Yes","No"))</f>
        <v/>
      </c>
      <c r="I485" s="15"/>
      <c r="J485" s="15"/>
      <c r="K485" s="15"/>
      <c r="L485" s="15"/>
    </row>
    <row r="486" customFormat="false" ht="15" hidden="false" customHeight="false" outlineLevel="0" collapsed="false">
      <c r="A486" s="15"/>
      <c r="B486" s="15"/>
      <c r="C486" s="15"/>
      <c r="D486" s="15"/>
      <c r="E486" s="15"/>
      <c r="F486" s="15"/>
      <c r="G486" s="15"/>
      <c r="H486" s="16" t="str">
        <f aca="false">IF(OR(D486="",F486=""),"",IF(D486=F486,"Yes","No"))</f>
        <v/>
      </c>
      <c r="I486" s="15"/>
      <c r="J486" s="15"/>
      <c r="K486" s="15"/>
      <c r="L486" s="15"/>
    </row>
    <row r="487" customFormat="false" ht="15" hidden="false" customHeight="false" outlineLevel="0" collapsed="false">
      <c r="A487" s="15"/>
      <c r="B487" s="15"/>
      <c r="C487" s="15"/>
      <c r="D487" s="15"/>
      <c r="E487" s="15"/>
      <c r="F487" s="15"/>
      <c r="G487" s="15"/>
      <c r="H487" s="16" t="str">
        <f aca="false">IF(OR(D487="",F487=""),"",IF(D487=F487,"Yes","No"))</f>
        <v/>
      </c>
      <c r="I487" s="15"/>
      <c r="J487" s="15"/>
      <c r="K487" s="15"/>
      <c r="L487" s="15"/>
    </row>
    <row r="488" customFormat="false" ht="15" hidden="false" customHeight="false" outlineLevel="0" collapsed="false">
      <c r="A488" s="15"/>
      <c r="B488" s="15"/>
      <c r="C488" s="15"/>
      <c r="D488" s="15"/>
      <c r="E488" s="15"/>
      <c r="F488" s="15"/>
      <c r="G488" s="15"/>
      <c r="H488" s="16" t="str">
        <f aca="false">IF(OR(D488="",F488=""),"",IF(D488=F488,"Yes","No"))</f>
        <v/>
      </c>
      <c r="I488" s="15"/>
      <c r="J488" s="15"/>
      <c r="K488" s="15"/>
      <c r="L488" s="15"/>
    </row>
    <row r="489" customFormat="false" ht="15" hidden="false" customHeight="false" outlineLevel="0" collapsed="false">
      <c r="A489" s="15"/>
      <c r="B489" s="15"/>
      <c r="C489" s="15"/>
      <c r="D489" s="15"/>
      <c r="E489" s="15"/>
      <c r="F489" s="15"/>
      <c r="G489" s="15"/>
      <c r="H489" s="16" t="str">
        <f aca="false">IF(OR(D489="",F489=""),"",IF(D489=F489,"Yes","No"))</f>
        <v/>
      </c>
      <c r="I489" s="15"/>
      <c r="J489" s="15"/>
      <c r="K489" s="15"/>
      <c r="L489" s="15"/>
    </row>
    <row r="490" customFormat="false" ht="15" hidden="false" customHeight="false" outlineLevel="0" collapsed="false">
      <c r="A490" s="15"/>
      <c r="B490" s="15"/>
      <c r="C490" s="15"/>
      <c r="D490" s="15"/>
      <c r="E490" s="15"/>
      <c r="F490" s="15"/>
      <c r="G490" s="15"/>
      <c r="H490" s="16" t="str">
        <f aca="false">IF(OR(D490="",F490=""),"",IF(D490=F490,"Yes","No"))</f>
        <v/>
      </c>
      <c r="I490" s="15"/>
      <c r="J490" s="15"/>
      <c r="K490" s="15"/>
      <c r="L490" s="15"/>
    </row>
    <row r="491" customFormat="false" ht="15" hidden="false" customHeight="false" outlineLevel="0" collapsed="false">
      <c r="A491" s="15"/>
      <c r="B491" s="15"/>
      <c r="C491" s="15"/>
      <c r="D491" s="15"/>
      <c r="E491" s="15"/>
      <c r="F491" s="15"/>
      <c r="G491" s="15"/>
      <c r="H491" s="16" t="str">
        <f aca="false">IF(OR(D491="",F491=""),"",IF(D491=F491,"Yes","No"))</f>
        <v/>
      </c>
      <c r="I491" s="15"/>
      <c r="J491" s="15"/>
      <c r="K491" s="15"/>
      <c r="L491" s="15"/>
    </row>
    <row r="492" customFormat="false" ht="15" hidden="false" customHeight="false" outlineLevel="0" collapsed="false">
      <c r="A492" s="15"/>
      <c r="B492" s="15"/>
      <c r="C492" s="15"/>
      <c r="D492" s="15"/>
      <c r="E492" s="15"/>
      <c r="F492" s="15"/>
      <c r="G492" s="15"/>
      <c r="H492" s="16" t="str">
        <f aca="false">IF(OR(D492="",F492=""),"",IF(D492=F492,"Yes","No"))</f>
        <v/>
      </c>
      <c r="I492" s="15"/>
      <c r="J492" s="15"/>
      <c r="K492" s="15"/>
      <c r="L492" s="15"/>
    </row>
    <row r="493" customFormat="false" ht="15" hidden="false" customHeight="false" outlineLevel="0" collapsed="false">
      <c r="A493" s="15"/>
      <c r="B493" s="15"/>
      <c r="C493" s="15"/>
      <c r="D493" s="15"/>
      <c r="E493" s="15"/>
      <c r="F493" s="15"/>
      <c r="G493" s="15"/>
      <c r="H493" s="16" t="str">
        <f aca="false">IF(OR(D493="",F493=""),"",IF(D493=F493,"Yes","No"))</f>
        <v/>
      </c>
      <c r="I493" s="15"/>
      <c r="J493" s="15"/>
      <c r="K493" s="15"/>
      <c r="L493" s="15"/>
    </row>
    <row r="494" customFormat="false" ht="15" hidden="false" customHeight="false" outlineLevel="0" collapsed="false">
      <c r="A494" s="15"/>
      <c r="B494" s="15"/>
      <c r="C494" s="15"/>
      <c r="D494" s="15"/>
      <c r="E494" s="15"/>
      <c r="F494" s="15"/>
      <c r="G494" s="15"/>
      <c r="H494" s="16" t="str">
        <f aca="false">IF(OR(D494="",F494=""),"",IF(D494=F494,"Yes","No"))</f>
        <v/>
      </c>
      <c r="I494" s="15"/>
      <c r="J494" s="15"/>
      <c r="K494" s="15"/>
      <c r="L494" s="15"/>
    </row>
    <row r="495" customFormat="false" ht="15" hidden="false" customHeight="false" outlineLevel="0" collapsed="false">
      <c r="A495" s="15"/>
      <c r="B495" s="15"/>
      <c r="C495" s="15"/>
      <c r="D495" s="15"/>
      <c r="E495" s="15"/>
      <c r="F495" s="15"/>
      <c r="G495" s="15"/>
      <c r="H495" s="16" t="str">
        <f aca="false">IF(OR(D495="",F495=""),"",IF(D495=F495,"Yes","No"))</f>
        <v/>
      </c>
      <c r="I495" s="15"/>
      <c r="J495" s="15"/>
      <c r="K495" s="15"/>
      <c r="L495" s="15"/>
    </row>
    <row r="496" customFormat="false" ht="15" hidden="false" customHeight="false" outlineLevel="0" collapsed="false">
      <c r="A496" s="15"/>
      <c r="B496" s="15"/>
      <c r="C496" s="15"/>
      <c r="D496" s="15"/>
      <c r="E496" s="15"/>
      <c r="F496" s="15"/>
      <c r="G496" s="15"/>
      <c r="H496" s="16" t="str">
        <f aca="false">IF(OR(D496="",F496=""),"",IF(D496=F496,"Yes","No"))</f>
        <v/>
      </c>
      <c r="I496" s="15"/>
      <c r="J496" s="15"/>
      <c r="K496" s="15"/>
      <c r="L496" s="15"/>
    </row>
    <row r="497" customFormat="false" ht="15" hidden="false" customHeight="false" outlineLevel="0" collapsed="false">
      <c r="A497" s="15"/>
      <c r="B497" s="15"/>
      <c r="C497" s="15"/>
      <c r="D497" s="15"/>
      <c r="E497" s="15"/>
      <c r="F497" s="15"/>
      <c r="G497" s="15"/>
      <c r="H497" s="16" t="str">
        <f aca="false">IF(OR(D497="",F497=""),"",IF(D497=F497,"Yes","No"))</f>
        <v/>
      </c>
      <c r="I497" s="15"/>
      <c r="J497" s="15"/>
      <c r="K497" s="15"/>
      <c r="L497" s="15"/>
    </row>
    <row r="498" customFormat="false" ht="15" hidden="false" customHeight="false" outlineLevel="0" collapsed="false">
      <c r="A498" s="15"/>
      <c r="B498" s="15"/>
      <c r="C498" s="15"/>
      <c r="D498" s="15"/>
      <c r="E498" s="15"/>
      <c r="F498" s="15"/>
      <c r="G498" s="15"/>
      <c r="H498" s="16" t="str">
        <f aca="false">IF(OR(D498="",F498=""),"",IF(D498=F498,"Yes","No"))</f>
        <v/>
      </c>
      <c r="I498" s="15"/>
      <c r="J498" s="15"/>
      <c r="K498" s="15"/>
      <c r="L498" s="15"/>
    </row>
    <row r="499" customFormat="false" ht="15" hidden="false" customHeight="false" outlineLevel="0" collapsed="false">
      <c r="A499" s="15"/>
      <c r="B499" s="15"/>
      <c r="C499" s="15"/>
      <c r="D499" s="15"/>
      <c r="E499" s="15"/>
      <c r="F499" s="15"/>
      <c r="G499" s="15"/>
      <c r="H499" s="16" t="str">
        <f aca="false">IF(OR(D499="",F499=""),"",IF(D499=F499,"Yes","No"))</f>
        <v/>
      </c>
      <c r="I499" s="15"/>
      <c r="J499" s="15"/>
      <c r="K499" s="15"/>
      <c r="L499" s="15"/>
    </row>
    <row r="500" customFormat="false" ht="15" hidden="false" customHeight="false" outlineLevel="0" collapsed="false">
      <c r="A500" s="15"/>
      <c r="B500" s="15"/>
      <c r="C500" s="15"/>
      <c r="D500" s="15"/>
      <c r="E500" s="15"/>
      <c r="F500" s="15"/>
      <c r="G500" s="15"/>
      <c r="H500" s="16" t="str">
        <f aca="false">IF(OR(D500="",F500=""),"",IF(D500=F500,"Yes","No"))</f>
        <v/>
      </c>
      <c r="I500" s="15"/>
      <c r="J500" s="15"/>
      <c r="K500" s="15"/>
      <c r="L500" s="15"/>
    </row>
    <row r="501" customFormat="false" ht="15" hidden="false" customHeight="false" outlineLevel="0" collapsed="false">
      <c r="A501" s="15"/>
      <c r="B501" s="15"/>
      <c r="C501" s="15"/>
      <c r="D501" s="15"/>
      <c r="E501" s="15"/>
      <c r="F501" s="15"/>
      <c r="G501" s="15"/>
      <c r="H501" s="16" t="str">
        <f aca="false">IF(OR(D501="",F501=""),"",IF(D501=F501,"Yes","No"))</f>
        <v/>
      </c>
      <c r="I501" s="15"/>
      <c r="J501" s="15"/>
      <c r="K501" s="15"/>
      <c r="L501" s="15"/>
    </row>
    <row r="502" customFormat="false" ht="15" hidden="false" customHeight="false" outlineLevel="0" collapsed="false">
      <c r="A502" s="15"/>
      <c r="B502" s="15"/>
      <c r="C502" s="15"/>
      <c r="D502" s="15"/>
      <c r="E502" s="15"/>
      <c r="F502" s="15"/>
      <c r="G502" s="15"/>
      <c r="H502" s="16" t="str">
        <f aca="false">IF(OR(D502="",F502=""),"",IF(D502=F502,"Yes","No"))</f>
        <v/>
      </c>
      <c r="I502" s="15"/>
      <c r="J502" s="15"/>
      <c r="K502" s="15"/>
      <c r="L502" s="15"/>
    </row>
    <row r="503" customFormat="false" ht="15" hidden="false" customHeight="false" outlineLevel="0" collapsed="false">
      <c r="A503" s="15"/>
      <c r="B503" s="15"/>
      <c r="C503" s="15"/>
      <c r="D503" s="15"/>
      <c r="E503" s="15"/>
      <c r="F503" s="15"/>
      <c r="G503" s="15"/>
      <c r="H503" s="16" t="str">
        <f aca="false">IF(OR(D503="",F503=""),"",IF(D503=F503,"Yes","No"))</f>
        <v/>
      </c>
      <c r="I503" s="15"/>
      <c r="J503" s="15"/>
      <c r="K503" s="15"/>
      <c r="L503" s="15"/>
    </row>
    <row r="504" customFormat="false" ht="15" hidden="false" customHeight="false" outlineLevel="0" collapsed="false">
      <c r="A504" s="15"/>
      <c r="B504" s="15"/>
      <c r="C504" s="15"/>
      <c r="D504" s="15"/>
      <c r="E504" s="15"/>
      <c r="F504" s="15"/>
      <c r="G504" s="15"/>
      <c r="H504" s="16" t="str">
        <f aca="false">IF(OR(D504="",F504=""),"",IF(D504=F504,"Yes","No"))</f>
        <v/>
      </c>
      <c r="I504" s="15"/>
      <c r="J504" s="15"/>
      <c r="K504" s="15"/>
      <c r="L504" s="15"/>
    </row>
    <row r="505" customFormat="false" ht="15" hidden="false" customHeight="false" outlineLevel="0" collapsed="false">
      <c r="A505" s="15"/>
      <c r="B505" s="15"/>
      <c r="C505" s="15"/>
      <c r="D505" s="15"/>
      <c r="E505" s="15"/>
      <c r="F505" s="15"/>
      <c r="G505" s="15"/>
      <c r="H505" s="16" t="str">
        <f aca="false">IF(OR(D505="",F505=""),"",IF(D505=F505,"Yes","No"))</f>
        <v/>
      </c>
      <c r="I505" s="15"/>
      <c r="J505" s="15"/>
      <c r="K505" s="15"/>
      <c r="L505" s="15"/>
    </row>
    <row r="506" customFormat="false" ht="15" hidden="false" customHeight="false" outlineLevel="0" collapsed="false">
      <c r="A506" s="15"/>
      <c r="B506" s="15"/>
      <c r="C506" s="15"/>
      <c r="D506" s="15"/>
      <c r="E506" s="15"/>
      <c r="F506" s="15"/>
      <c r="G506" s="15"/>
      <c r="H506" s="16" t="str">
        <f aca="false">IF(OR(D506="",F506=""),"",IF(D506=F506,"Yes","No"))</f>
        <v/>
      </c>
      <c r="I506" s="15"/>
      <c r="J506" s="15"/>
      <c r="K506" s="15"/>
      <c r="L506" s="15"/>
    </row>
    <row r="507" customFormat="false" ht="15" hidden="false" customHeight="false" outlineLevel="0" collapsed="false">
      <c r="A507" s="15"/>
      <c r="B507" s="15"/>
      <c r="C507" s="15"/>
      <c r="D507" s="15"/>
      <c r="E507" s="15"/>
      <c r="F507" s="15"/>
      <c r="G507" s="15"/>
      <c r="H507" s="16" t="str">
        <f aca="false">IF(OR(D507="",F507=""),"",IF(D507=F507,"Yes","No"))</f>
        <v/>
      </c>
      <c r="I507" s="15"/>
      <c r="J507" s="15"/>
      <c r="K507" s="15"/>
      <c r="L507" s="15"/>
    </row>
    <row r="508" customFormat="false" ht="15" hidden="false" customHeight="false" outlineLevel="0" collapsed="false">
      <c r="A508" s="15"/>
      <c r="B508" s="15"/>
      <c r="C508" s="15"/>
      <c r="D508" s="15"/>
      <c r="E508" s="15"/>
      <c r="F508" s="15"/>
      <c r="G508" s="15"/>
      <c r="H508" s="16" t="str">
        <f aca="false">IF(OR(D508="",F508=""),"",IF(D508=F508,"Yes","No"))</f>
        <v/>
      </c>
      <c r="I508" s="15"/>
      <c r="J508" s="15"/>
      <c r="K508" s="15"/>
      <c r="L508" s="15"/>
    </row>
    <row r="509" customFormat="false" ht="15" hidden="false" customHeight="false" outlineLevel="0" collapsed="false">
      <c r="A509" s="15"/>
      <c r="B509" s="15"/>
      <c r="C509" s="15"/>
      <c r="D509" s="15"/>
      <c r="E509" s="15"/>
      <c r="F509" s="15"/>
      <c r="G509" s="15"/>
      <c r="H509" s="16" t="str">
        <f aca="false">IF(OR(D509="",F509=""),"",IF(D509=F509,"Yes","No"))</f>
        <v/>
      </c>
      <c r="I509" s="15"/>
      <c r="J509" s="15"/>
      <c r="K509" s="15"/>
      <c r="L509" s="15"/>
    </row>
    <row r="510" customFormat="false" ht="15" hidden="false" customHeight="false" outlineLevel="0" collapsed="false">
      <c r="A510" s="15"/>
      <c r="B510" s="15"/>
      <c r="C510" s="15"/>
      <c r="D510" s="15"/>
      <c r="E510" s="15"/>
      <c r="F510" s="15"/>
      <c r="G510" s="15"/>
      <c r="H510" s="16" t="str">
        <f aca="false">IF(OR(D510="",F510=""),"",IF(D510=F510,"Yes","No"))</f>
        <v/>
      </c>
      <c r="I510" s="15"/>
      <c r="J510" s="15"/>
      <c r="K510" s="15"/>
      <c r="L510" s="15"/>
    </row>
    <row r="511" customFormat="false" ht="15" hidden="false" customHeight="false" outlineLevel="0" collapsed="false">
      <c r="A511" s="15"/>
      <c r="B511" s="15"/>
      <c r="C511" s="15"/>
      <c r="D511" s="15"/>
      <c r="E511" s="15"/>
      <c r="F511" s="15"/>
      <c r="G511" s="15"/>
      <c r="H511" s="16" t="str">
        <f aca="false">IF(OR(D511="",F511=""),"",IF(D511=F511,"Yes","No"))</f>
        <v/>
      </c>
      <c r="I511" s="15"/>
      <c r="J511" s="15"/>
      <c r="K511" s="15"/>
      <c r="L511" s="15"/>
    </row>
    <row r="512" customFormat="false" ht="15" hidden="false" customHeight="false" outlineLevel="0" collapsed="false">
      <c r="A512" s="15"/>
      <c r="B512" s="15"/>
      <c r="C512" s="15"/>
      <c r="D512" s="15"/>
      <c r="E512" s="15"/>
      <c r="F512" s="15"/>
      <c r="G512" s="15"/>
      <c r="H512" s="16" t="str">
        <f aca="false">IF(OR(D512="",F512=""),"",IF(D512=F512,"Yes","No"))</f>
        <v/>
      </c>
      <c r="I512" s="15"/>
      <c r="J512" s="15"/>
      <c r="K512" s="15"/>
      <c r="L512" s="15"/>
    </row>
    <row r="513" customFormat="false" ht="15" hidden="false" customHeight="false" outlineLevel="0" collapsed="false">
      <c r="A513" s="15"/>
      <c r="B513" s="15"/>
      <c r="C513" s="15"/>
      <c r="D513" s="15"/>
      <c r="E513" s="15"/>
      <c r="F513" s="15"/>
      <c r="G513" s="15"/>
      <c r="H513" s="16" t="str">
        <f aca="false">IF(OR(D513="",F513=""),"",IF(D513=F513,"Yes","No"))</f>
        <v/>
      </c>
      <c r="I513" s="15"/>
      <c r="J513" s="15"/>
      <c r="K513" s="15"/>
      <c r="L513" s="15"/>
    </row>
    <row r="514" customFormat="false" ht="15" hidden="false" customHeight="false" outlineLevel="0" collapsed="false">
      <c r="A514" s="15"/>
      <c r="B514" s="15"/>
      <c r="C514" s="15"/>
      <c r="D514" s="15"/>
      <c r="E514" s="15"/>
      <c r="F514" s="15"/>
      <c r="G514" s="15"/>
      <c r="H514" s="16" t="str">
        <f aca="false">IF(OR(D514="",F514=""),"",IF(D514=F514,"Yes","No"))</f>
        <v/>
      </c>
      <c r="I514" s="15"/>
      <c r="J514" s="15"/>
      <c r="K514" s="15"/>
      <c r="L514" s="15"/>
    </row>
    <row r="515" customFormat="false" ht="15" hidden="false" customHeight="false" outlineLevel="0" collapsed="false">
      <c r="A515" s="15"/>
      <c r="B515" s="15"/>
      <c r="C515" s="15"/>
      <c r="D515" s="15"/>
      <c r="E515" s="15"/>
      <c r="F515" s="15"/>
      <c r="G515" s="15"/>
      <c r="H515" s="16" t="str">
        <f aca="false">IF(OR(D515="",F515=""),"",IF(D515=F515,"Yes","No"))</f>
        <v/>
      </c>
      <c r="I515" s="15"/>
      <c r="J515" s="15"/>
      <c r="K515" s="15"/>
      <c r="L515" s="15"/>
    </row>
    <row r="516" customFormat="false" ht="15" hidden="false" customHeight="false" outlineLevel="0" collapsed="false">
      <c r="A516" s="15"/>
      <c r="B516" s="15"/>
      <c r="C516" s="15"/>
      <c r="D516" s="15"/>
      <c r="E516" s="15"/>
      <c r="F516" s="15"/>
      <c r="G516" s="15"/>
      <c r="H516" s="16" t="str">
        <f aca="false">IF(OR(D516="",F516=""),"",IF(D516=F516,"Yes","No"))</f>
        <v/>
      </c>
      <c r="I516" s="15"/>
      <c r="J516" s="15"/>
      <c r="K516" s="15"/>
      <c r="L516" s="15"/>
    </row>
    <row r="517" customFormat="false" ht="15" hidden="false" customHeight="false" outlineLevel="0" collapsed="false">
      <c r="A517" s="15"/>
      <c r="B517" s="15"/>
      <c r="C517" s="15"/>
      <c r="D517" s="15"/>
      <c r="E517" s="15"/>
      <c r="F517" s="15"/>
      <c r="G517" s="15"/>
      <c r="H517" s="16" t="str">
        <f aca="false">IF(OR(D517="",F517=""),"",IF(D517=F517,"Yes","No"))</f>
        <v/>
      </c>
      <c r="I517" s="15"/>
      <c r="J517" s="15"/>
      <c r="K517" s="15"/>
      <c r="L517" s="15"/>
    </row>
    <row r="518" customFormat="false" ht="15" hidden="false" customHeight="false" outlineLevel="0" collapsed="false">
      <c r="A518" s="15"/>
      <c r="B518" s="15"/>
      <c r="C518" s="15"/>
      <c r="D518" s="15"/>
      <c r="E518" s="15"/>
      <c r="F518" s="15"/>
      <c r="G518" s="15"/>
      <c r="H518" s="16" t="str">
        <f aca="false">IF(OR(D518="",F518=""),"",IF(D518=F518,"Yes","No"))</f>
        <v/>
      </c>
      <c r="I518" s="15"/>
      <c r="J518" s="15"/>
      <c r="K518" s="15"/>
      <c r="L518" s="15"/>
    </row>
    <row r="519" customFormat="false" ht="15" hidden="false" customHeight="false" outlineLevel="0" collapsed="false">
      <c r="A519" s="15"/>
      <c r="B519" s="15"/>
      <c r="C519" s="15"/>
      <c r="D519" s="15"/>
      <c r="E519" s="15"/>
      <c r="F519" s="15"/>
      <c r="G519" s="15"/>
      <c r="H519" s="16" t="str">
        <f aca="false">IF(OR(D519="",F519=""),"",IF(D519=F519,"Yes","No"))</f>
        <v/>
      </c>
      <c r="I519" s="15"/>
      <c r="J519" s="15"/>
      <c r="K519" s="15"/>
      <c r="L519" s="15"/>
    </row>
    <row r="520" customFormat="false" ht="15" hidden="false" customHeight="false" outlineLevel="0" collapsed="false">
      <c r="A520" s="15"/>
      <c r="B520" s="15"/>
      <c r="C520" s="15"/>
      <c r="D520" s="15"/>
      <c r="E520" s="15"/>
      <c r="F520" s="15"/>
      <c r="G520" s="15"/>
      <c r="H520" s="16" t="str">
        <f aca="false">IF(OR(D520="",F520=""),"",IF(D520=F520,"Yes","No"))</f>
        <v/>
      </c>
      <c r="I520" s="15"/>
      <c r="J520" s="15"/>
      <c r="K520" s="15"/>
      <c r="L520" s="15"/>
    </row>
    <row r="521" customFormat="false" ht="15" hidden="false" customHeight="false" outlineLevel="0" collapsed="false">
      <c r="A521" s="15"/>
      <c r="B521" s="15"/>
      <c r="C521" s="15"/>
      <c r="D521" s="15"/>
      <c r="E521" s="15"/>
      <c r="F521" s="15"/>
      <c r="G521" s="15"/>
      <c r="H521" s="16" t="str">
        <f aca="false">IF(OR(D521="",F521=""),"",IF(D521=F521,"Yes","No"))</f>
        <v/>
      </c>
      <c r="I521" s="15"/>
      <c r="J521" s="15"/>
      <c r="K521" s="15"/>
      <c r="L521" s="15"/>
    </row>
    <row r="522" customFormat="false" ht="15" hidden="false" customHeight="false" outlineLevel="0" collapsed="false">
      <c r="A522" s="15"/>
      <c r="B522" s="15"/>
      <c r="C522" s="15"/>
      <c r="D522" s="15"/>
      <c r="E522" s="15"/>
      <c r="F522" s="15"/>
      <c r="G522" s="15"/>
      <c r="H522" s="16" t="str">
        <f aca="false">IF(OR(D522="",F522=""),"",IF(D522=F522,"Yes","No"))</f>
        <v/>
      </c>
      <c r="I522" s="15"/>
      <c r="J522" s="15"/>
      <c r="K522" s="15"/>
      <c r="L522" s="15"/>
    </row>
    <row r="523" customFormat="false" ht="15" hidden="false" customHeight="false" outlineLevel="0" collapsed="false">
      <c r="A523" s="15"/>
      <c r="B523" s="15"/>
      <c r="C523" s="15"/>
      <c r="D523" s="15"/>
      <c r="E523" s="15"/>
      <c r="F523" s="15"/>
      <c r="G523" s="15"/>
      <c r="H523" s="16" t="str">
        <f aca="false">IF(OR(D523="",F523=""),"",IF(D523=F523,"Yes","No"))</f>
        <v/>
      </c>
      <c r="I523" s="15"/>
      <c r="J523" s="15"/>
      <c r="K523" s="15"/>
      <c r="L523" s="15"/>
    </row>
    <row r="524" customFormat="false" ht="15" hidden="false" customHeight="false" outlineLevel="0" collapsed="false">
      <c r="A524" s="15"/>
      <c r="B524" s="15"/>
      <c r="C524" s="15"/>
      <c r="D524" s="15"/>
      <c r="E524" s="15"/>
      <c r="F524" s="15"/>
      <c r="G524" s="15"/>
      <c r="H524" s="16" t="str">
        <f aca="false">IF(OR(D524="",F524=""),"",IF(D524=F524,"Yes","No"))</f>
        <v/>
      </c>
      <c r="I524" s="15"/>
      <c r="J524" s="15"/>
      <c r="K524" s="15"/>
      <c r="L524" s="15"/>
    </row>
    <row r="525" customFormat="false" ht="15" hidden="false" customHeight="false" outlineLevel="0" collapsed="false">
      <c r="A525" s="15"/>
      <c r="B525" s="15"/>
      <c r="C525" s="15"/>
      <c r="D525" s="15"/>
      <c r="E525" s="15"/>
      <c r="F525" s="15"/>
      <c r="G525" s="15"/>
      <c r="H525" s="16" t="str">
        <f aca="false">IF(OR(D525="",F525=""),"",IF(D525=F525,"Yes","No"))</f>
        <v/>
      </c>
      <c r="I525" s="15"/>
      <c r="J525" s="15"/>
      <c r="K525" s="15"/>
      <c r="L525" s="15"/>
    </row>
    <row r="526" customFormat="false" ht="15" hidden="false" customHeight="false" outlineLevel="0" collapsed="false">
      <c r="A526" s="15"/>
      <c r="B526" s="15"/>
      <c r="C526" s="15"/>
      <c r="D526" s="15"/>
      <c r="E526" s="15"/>
      <c r="F526" s="15"/>
      <c r="G526" s="15"/>
      <c r="H526" s="16" t="str">
        <f aca="false">IF(OR(D526="",F526=""),"",IF(D526=F526,"Yes","No"))</f>
        <v/>
      </c>
      <c r="I526" s="15"/>
      <c r="J526" s="15"/>
      <c r="K526" s="15"/>
      <c r="L526" s="15"/>
    </row>
    <row r="527" customFormat="false" ht="15" hidden="false" customHeight="false" outlineLevel="0" collapsed="false">
      <c r="A527" s="15"/>
      <c r="B527" s="15"/>
      <c r="C527" s="15"/>
      <c r="D527" s="15"/>
      <c r="E527" s="15"/>
      <c r="F527" s="15"/>
      <c r="G527" s="15"/>
      <c r="H527" s="16" t="str">
        <f aca="false">IF(OR(D527="",F527=""),"",IF(D527=F527,"Yes","No"))</f>
        <v/>
      </c>
      <c r="I527" s="15"/>
      <c r="J527" s="15"/>
      <c r="K527" s="15"/>
      <c r="L527" s="15"/>
    </row>
    <row r="528" customFormat="false" ht="15" hidden="false" customHeight="false" outlineLevel="0" collapsed="false">
      <c r="A528" s="15"/>
      <c r="B528" s="15"/>
      <c r="C528" s="15"/>
      <c r="D528" s="15"/>
      <c r="E528" s="15"/>
      <c r="F528" s="15"/>
      <c r="G528" s="15"/>
      <c r="H528" s="16" t="str">
        <f aca="false">IF(OR(D528="",F528=""),"",IF(D528=F528,"Yes","No"))</f>
        <v/>
      </c>
      <c r="I528" s="15"/>
      <c r="J528" s="15"/>
      <c r="K528" s="15"/>
      <c r="L528" s="15"/>
    </row>
    <row r="529" customFormat="false" ht="15" hidden="false" customHeight="false" outlineLevel="0" collapsed="false">
      <c r="A529" s="15"/>
      <c r="B529" s="15"/>
      <c r="C529" s="15"/>
      <c r="D529" s="15"/>
      <c r="E529" s="15"/>
      <c r="F529" s="15"/>
      <c r="G529" s="15"/>
      <c r="H529" s="16" t="str">
        <f aca="false">IF(OR(D529="",F529=""),"",IF(D529=F529,"Yes","No"))</f>
        <v/>
      </c>
      <c r="I529" s="15"/>
      <c r="J529" s="15"/>
      <c r="K529" s="15"/>
      <c r="L529" s="15"/>
    </row>
    <row r="530" customFormat="false" ht="15" hidden="false" customHeight="false" outlineLevel="0" collapsed="false">
      <c r="A530" s="15"/>
      <c r="B530" s="15"/>
      <c r="C530" s="15"/>
      <c r="D530" s="15"/>
      <c r="E530" s="15"/>
      <c r="F530" s="15"/>
      <c r="G530" s="15"/>
      <c r="H530" s="16" t="str">
        <f aca="false">IF(OR(D530="",F530=""),"",IF(D530=F530,"Yes","No"))</f>
        <v/>
      </c>
      <c r="I530" s="15"/>
      <c r="J530" s="15"/>
      <c r="K530" s="15"/>
      <c r="L530" s="15"/>
    </row>
    <row r="531" customFormat="false" ht="15" hidden="false" customHeight="false" outlineLevel="0" collapsed="false">
      <c r="A531" s="15"/>
      <c r="B531" s="15"/>
      <c r="C531" s="15"/>
      <c r="D531" s="15"/>
      <c r="E531" s="15"/>
      <c r="F531" s="15"/>
      <c r="G531" s="15"/>
      <c r="H531" s="16" t="str">
        <f aca="false">IF(OR(D531="",F531=""),"",IF(D531=F531,"Yes","No"))</f>
        <v/>
      </c>
      <c r="I531" s="15"/>
      <c r="J531" s="15"/>
      <c r="K531" s="15"/>
      <c r="L531" s="15"/>
    </row>
    <row r="532" customFormat="false" ht="15" hidden="false" customHeight="false" outlineLevel="0" collapsed="false">
      <c r="A532" s="15"/>
      <c r="B532" s="15"/>
      <c r="C532" s="15"/>
      <c r="D532" s="15"/>
      <c r="E532" s="15"/>
      <c r="F532" s="15"/>
      <c r="G532" s="15"/>
      <c r="H532" s="16" t="str">
        <f aca="false">IF(OR(D532="",F532=""),"",IF(D532=F532,"Yes","No"))</f>
        <v/>
      </c>
      <c r="I532" s="15"/>
      <c r="J532" s="15"/>
      <c r="K532" s="15"/>
      <c r="L532" s="15"/>
    </row>
    <row r="533" customFormat="false" ht="15" hidden="false" customHeight="false" outlineLevel="0" collapsed="false">
      <c r="A533" s="15"/>
      <c r="B533" s="15"/>
      <c r="C533" s="15"/>
      <c r="D533" s="15"/>
      <c r="E533" s="15"/>
      <c r="F533" s="15"/>
      <c r="G533" s="15"/>
      <c r="H533" s="16" t="str">
        <f aca="false">IF(OR(D533="",F533=""),"",IF(D533=F533,"Yes","No"))</f>
        <v/>
      </c>
      <c r="I533" s="15"/>
      <c r="J533" s="15"/>
      <c r="K533" s="15"/>
      <c r="L533" s="15"/>
    </row>
    <row r="534" customFormat="false" ht="15" hidden="false" customHeight="false" outlineLevel="0" collapsed="false">
      <c r="A534" s="15"/>
      <c r="B534" s="15"/>
      <c r="C534" s="15"/>
      <c r="D534" s="15"/>
      <c r="E534" s="15"/>
      <c r="F534" s="15"/>
      <c r="G534" s="15"/>
      <c r="H534" s="16" t="str">
        <f aca="false">IF(OR(D534="",F534=""),"",IF(D534=F534,"Yes","No"))</f>
        <v/>
      </c>
      <c r="I534" s="15"/>
      <c r="J534" s="15"/>
      <c r="K534" s="15"/>
      <c r="L534" s="15"/>
    </row>
    <row r="535" customFormat="false" ht="15" hidden="false" customHeight="false" outlineLevel="0" collapsed="false">
      <c r="A535" s="15"/>
      <c r="B535" s="15"/>
      <c r="C535" s="15"/>
      <c r="D535" s="15"/>
      <c r="E535" s="15"/>
      <c r="F535" s="15"/>
      <c r="G535" s="15"/>
      <c r="H535" s="16" t="str">
        <f aca="false">IF(OR(D535="",F535=""),"",IF(D535=F535,"Yes","No"))</f>
        <v/>
      </c>
      <c r="I535" s="15"/>
      <c r="J535" s="15"/>
      <c r="K535" s="15"/>
      <c r="L535" s="15"/>
    </row>
    <row r="536" customFormat="false" ht="15" hidden="false" customHeight="false" outlineLevel="0" collapsed="false">
      <c r="A536" s="15"/>
      <c r="B536" s="15"/>
      <c r="C536" s="15"/>
      <c r="D536" s="15"/>
      <c r="E536" s="15"/>
      <c r="F536" s="15"/>
      <c r="G536" s="15"/>
      <c r="H536" s="16" t="str">
        <f aca="false">IF(OR(D536="",F536=""),"",IF(D536=F536,"Yes","No"))</f>
        <v/>
      </c>
      <c r="I536" s="15"/>
      <c r="J536" s="15"/>
      <c r="K536" s="15"/>
      <c r="L536" s="15"/>
    </row>
    <row r="537" customFormat="false" ht="15" hidden="false" customHeight="false" outlineLevel="0" collapsed="false">
      <c r="A537" s="15"/>
      <c r="B537" s="15"/>
      <c r="C537" s="15"/>
      <c r="D537" s="15"/>
      <c r="E537" s="15"/>
      <c r="F537" s="15"/>
      <c r="G537" s="15"/>
      <c r="H537" s="16" t="str">
        <f aca="false">IF(OR(D537="",F537=""),"",IF(D537=F537,"Yes","No"))</f>
        <v/>
      </c>
      <c r="I537" s="15"/>
      <c r="J537" s="15"/>
      <c r="K537" s="15"/>
      <c r="L537" s="15"/>
    </row>
    <row r="538" customFormat="false" ht="15" hidden="false" customHeight="false" outlineLevel="0" collapsed="false">
      <c r="A538" s="15"/>
      <c r="B538" s="15"/>
      <c r="C538" s="15"/>
      <c r="D538" s="15"/>
      <c r="E538" s="15"/>
      <c r="F538" s="15"/>
      <c r="G538" s="15"/>
      <c r="H538" s="16" t="str">
        <f aca="false">IF(OR(D538="",F538=""),"",IF(D538=F538,"Yes","No"))</f>
        <v/>
      </c>
      <c r="I538" s="15"/>
      <c r="J538" s="15"/>
      <c r="K538" s="15"/>
      <c r="L538" s="15"/>
    </row>
    <row r="539" customFormat="false" ht="15" hidden="false" customHeight="false" outlineLevel="0" collapsed="false">
      <c r="A539" s="15"/>
      <c r="B539" s="15"/>
      <c r="C539" s="15"/>
      <c r="D539" s="15"/>
      <c r="E539" s="15"/>
      <c r="F539" s="15"/>
      <c r="G539" s="15"/>
      <c r="H539" s="16" t="str">
        <f aca="false">IF(OR(D539="",F539=""),"",IF(D539=F539,"Yes","No"))</f>
        <v/>
      </c>
      <c r="I539" s="15"/>
      <c r="J539" s="15"/>
      <c r="K539" s="15"/>
      <c r="L539" s="15"/>
    </row>
    <row r="540" customFormat="false" ht="15" hidden="false" customHeight="false" outlineLevel="0" collapsed="false">
      <c r="A540" s="15"/>
      <c r="B540" s="15"/>
      <c r="C540" s="15"/>
      <c r="D540" s="15"/>
      <c r="E540" s="15"/>
      <c r="F540" s="15"/>
      <c r="G540" s="15"/>
      <c r="H540" s="16" t="str">
        <f aca="false">IF(OR(D540="",F540=""),"",IF(D540=F540,"Yes","No"))</f>
        <v/>
      </c>
      <c r="I540" s="15"/>
      <c r="J540" s="15"/>
      <c r="K540" s="15"/>
      <c r="L540" s="15"/>
    </row>
    <row r="541" customFormat="false" ht="15" hidden="false" customHeight="false" outlineLevel="0" collapsed="false">
      <c r="A541" s="15"/>
      <c r="B541" s="15"/>
      <c r="C541" s="15"/>
      <c r="D541" s="15"/>
      <c r="E541" s="15"/>
      <c r="F541" s="15"/>
      <c r="G541" s="15"/>
      <c r="H541" s="16" t="str">
        <f aca="false">IF(OR(D541="",F541=""),"",IF(D541=F541,"Yes","No"))</f>
        <v/>
      </c>
      <c r="I541" s="15"/>
      <c r="J541" s="15"/>
      <c r="K541" s="15"/>
      <c r="L541" s="15"/>
    </row>
    <row r="542" customFormat="false" ht="15" hidden="false" customHeight="false" outlineLevel="0" collapsed="false">
      <c r="A542" s="15"/>
      <c r="B542" s="15"/>
      <c r="C542" s="15"/>
      <c r="D542" s="15"/>
      <c r="E542" s="15"/>
      <c r="F542" s="15"/>
      <c r="G542" s="15"/>
      <c r="H542" s="16" t="str">
        <f aca="false">IF(OR(D542="",F542=""),"",IF(D542=F542,"Yes","No"))</f>
        <v/>
      </c>
      <c r="I542" s="15"/>
      <c r="J542" s="15"/>
      <c r="K542" s="15"/>
      <c r="L542" s="15"/>
    </row>
    <row r="543" customFormat="false" ht="15" hidden="false" customHeight="false" outlineLevel="0" collapsed="false">
      <c r="A543" s="15"/>
      <c r="B543" s="15"/>
      <c r="C543" s="15"/>
      <c r="D543" s="15"/>
      <c r="E543" s="15"/>
      <c r="F543" s="15"/>
      <c r="G543" s="15"/>
      <c r="H543" s="16" t="str">
        <f aca="false">IF(OR(D543="",F543=""),"",IF(D543=F543,"Yes","No"))</f>
        <v/>
      </c>
      <c r="I543" s="15"/>
      <c r="J543" s="15"/>
      <c r="K543" s="15"/>
      <c r="L543" s="15"/>
    </row>
    <row r="544" customFormat="false" ht="15" hidden="false" customHeight="false" outlineLevel="0" collapsed="false">
      <c r="A544" s="15"/>
      <c r="B544" s="15"/>
      <c r="C544" s="15"/>
      <c r="D544" s="15"/>
      <c r="E544" s="15"/>
      <c r="F544" s="15"/>
      <c r="G544" s="15"/>
      <c r="H544" s="16" t="str">
        <f aca="false">IF(OR(D544="",F544=""),"",IF(D544=F544,"Yes","No"))</f>
        <v/>
      </c>
      <c r="I544" s="15"/>
      <c r="J544" s="15"/>
      <c r="K544" s="15"/>
      <c r="L544" s="15"/>
    </row>
    <row r="545" customFormat="false" ht="15" hidden="false" customHeight="false" outlineLevel="0" collapsed="false">
      <c r="A545" s="15"/>
      <c r="B545" s="15"/>
      <c r="C545" s="15"/>
      <c r="D545" s="15"/>
      <c r="E545" s="15"/>
      <c r="F545" s="15"/>
      <c r="G545" s="15"/>
      <c r="H545" s="16" t="str">
        <f aca="false">IF(OR(D545="",F545=""),"",IF(D545=F545,"Yes","No"))</f>
        <v/>
      </c>
      <c r="I545" s="15"/>
      <c r="J545" s="15"/>
      <c r="K545" s="15"/>
      <c r="L545" s="15"/>
    </row>
    <row r="546" customFormat="false" ht="15" hidden="false" customHeight="false" outlineLevel="0" collapsed="false">
      <c r="A546" s="15"/>
      <c r="B546" s="15"/>
      <c r="C546" s="15"/>
      <c r="D546" s="15"/>
      <c r="E546" s="15"/>
      <c r="F546" s="15"/>
      <c r="G546" s="15"/>
      <c r="H546" s="16" t="str">
        <f aca="false">IF(OR(D546="",F546=""),"",IF(D546=F546,"Yes","No"))</f>
        <v/>
      </c>
      <c r="I546" s="15"/>
      <c r="J546" s="15"/>
      <c r="K546" s="15"/>
      <c r="L546" s="15"/>
    </row>
    <row r="547" customFormat="false" ht="15" hidden="false" customHeight="false" outlineLevel="0" collapsed="false">
      <c r="A547" s="15"/>
      <c r="B547" s="15"/>
      <c r="C547" s="15"/>
      <c r="D547" s="15"/>
      <c r="E547" s="15"/>
      <c r="F547" s="15"/>
      <c r="G547" s="15"/>
      <c r="H547" s="16" t="str">
        <f aca="false">IF(OR(D547="",F547=""),"",IF(D547=F547,"Yes","No"))</f>
        <v/>
      </c>
      <c r="I547" s="15"/>
      <c r="J547" s="15"/>
      <c r="K547" s="15"/>
      <c r="L547" s="15"/>
    </row>
    <row r="548" customFormat="false" ht="15" hidden="false" customHeight="false" outlineLevel="0" collapsed="false">
      <c r="A548" s="15"/>
      <c r="B548" s="15"/>
      <c r="C548" s="15"/>
      <c r="D548" s="15"/>
      <c r="E548" s="15"/>
      <c r="F548" s="15"/>
      <c r="G548" s="15"/>
      <c r="H548" s="16" t="str">
        <f aca="false">IF(OR(D548="",F548=""),"",IF(D548=F548,"Yes","No"))</f>
        <v/>
      </c>
      <c r="I548" s="15"/>
      <c r="J548" s="15"/>
      <c r="K548" s="15"/>
      <c r="L548" s="15"/>
    </row>
    <row r="549" customFormat="false" ht="15" hidden="false" customHeight="false" outlineLevel="0" collapsed="false">
      <c r="A549" s="15"/>
      <c r="B549" s="15"/>
      <c r="C549" s="15"/>
      <c r="D549" s="15"/>
      <c r="E549" s="15"/>
      <c r="F549" s="15"/>
      <c r="G549" s="15"/>
      <c r="H549" s="16" t="str">
        <f aca="false">IF(OR(D549="",F549=""),"",IF(D549=F549,"Yes","No"))</f>
        <v/>
      </c>
      <c r="I549" s="15"/>
      <c r="J549" s="15"/>
      <c r="K549" s="15"/>
      <c r="L549" s="15"/>
    </row>
    <row r="550" customFormat="false" ht="15" hidden="false" customHeight="false" outlineLevel="0" collapsed="false">
      <c r="A550" s="15"/>
      <c r="B550" s="15"/>
      <c r="C550" s="15"/>
      <c r="D550" s="15"/>
      <c r="E550" s="15"/>
      <c r="F550" s="15"/>
      <c r="G550" s="15"/>
      <c r="H550" s="16" t="str">
        <f aca="false">IF(OR(D550="",F550=""),"",IF(D550=F550,"Yes","No"))</f>
        <v/>
      </c>
      <c r="I550" s="15"/>
      <c r="J550" s="15"/>
      <c r="K550" s="15"/>
      <c r="L550" s="15"/>
    </row>
    <row r="551" customFormat="false" ht="15" hidden="false" customHeight="false" outlineLevel="0" collapsed="false">
      <c r="A551" s="15"/>
      <c r="B551" s="15"/>
      <c r="C551" s="15"/>
      <c r="D551" s="15"/>
      <c r="E551" s="15"/>
      <c r="F551" s="15"/>
      <c r="G551" s="15"/>
      <c r="H551" s="16" t="str">
        <f aca="false">IF(OR(D551="",F551=""),"",IF(D551=F551,"Yes","No"))</f>
        <v/>
      </c>
      <c r="I551" s="15"/>
      <c r="J551" s="15"/>
      <c r="K551" s="15"/>
      <c r="L551" s="15"/>
    </row>
    <row r="552" customFormat="false" ht="15" hidden="false" customHeight="false" outlineLevel="0" collapsed="false">
      <c r="A552" s="15"/>
      <c r="B552" s="15"/>
      <c r="C552" s="15"/>
      <c r="D552" s="15"/>
      <c r="E552" s="15"/>
      <c r="F552" s="15"/>
      <c r="G552" s="15"/>
      <c r="H552" s="16" t="str">
        <f aca="false">IF(OR(D552="",F552=""),"",IF(D552=F552,"Yes","No"))</f>
        <v/>
      </c>
      <c r="I552" s="15"/>
      <c r="J552" s="15"/>
      <c r="K552" s="15"/>
      <c r="L552" s="15"/>
    </row>
    <row r="553" customFormat="false" ht="15" hidden="false" customHeight="false" outlineLevel="0" collapsed="false">
      <c r="A553" s="15"/>
      <c r="B553" s="15"/>
      <c r="C553" s="15"/>
      <c r="D553" s="15"/>
      <c r="E553" s="15"/>
      <c r="F553" s="15"/>
      <c r="G553" s="15"/>
      <c r="H553" s="16" t="str">
        <f aca="false">IF(OR(D553="",F553=""),"",IF(D553=F553,"Yes","No"))</f>
        <v/>
      </c>
      <c r="I553" s="15"/>
      <c r="J553" s="15"/>
      <c r="K553" s="15"/>
      <c r="L553" s="15"/>
    </row>
    <row r="554" customFormat="false" ht="15" hidden="false" customHeight="false" outlineLevel="0" collapsed="false">
      <c r="A554" s="15"/>
      <c r="B554" s="15"/>
      <c r="C554" s="15"/>
      <c r="D554" s="15"/>
      <c r="E554" s="15"/>
      <c r="F554" s="15"/>
      <c r="G554" s="15"/>
      <c r="H554" s="16" t="str">
        <f aca="false">IF(OR(D554="",F554=""),"",IF(D554=F554,"Yes","No"))</f>
        <v/>
      </c>
      <c r="I554" s="15"/>
      <c r="J554" s="15"/>
      <c r="K554" s="15"/>
      <c r="L554" s="15"/>
    </row>
    <row r="555" customFormat="false" ht="15" hidden="false" customHeight="false" outlineLevel="0" collapsed="false">
      <c r="A555" s="15"/>
      <c r="B555" s="15"/>
      <c r="C555" s="15"/>
      <c r="D555" s="15"/>
      <c r="E555" s="15"/>
      <c r="F555" s="15"/>
      <c r="G555" s="15"/>
      <c r="H555" s="16" t="str">
        <f aca="false">IF(OR(D555="",F555=""),"",IF(D555=F555,"Yes","No"))</f>
        <v/>
      </c>
      <c r="I555" s="15"/>
      <c r="J555" s="15"/>
      <c r="K555" s="15"/>
      <c r="L555" s="15"/>
    </row>
    <row r="556" customFormat="false" ht="15" hidden="false" customHeight="false" outlineLevel="0" collapsed="false">
      <c r="A556" s="15"/>
      <c r="B556" s="15"/>
      <c r="C556" s="15"/>
      <c r="D556" s="15"/>
      <c r="E556" s="15"/>
      <c r="F556" s="15"/>
      <c r="G556" s="15"/>
      <c r="H556" s="16" t="str">
        <f aca="false">IF(OR(D556="",F556=""),"",IF(D556=F556,"Yes","No"))</f>
        <v/>
      </c>
      <c r="I556" s="15"/>
      <c r="J556" s="15"/>
      <c r="K556" s="15"/>
      <c r="L556" s="15"/>
    </row>
    <row r="557" customFormat="false" ht="15" hidden="false" customHeight="false" outlineLevel="0" collapsed="false">
      <c r="A557" s="15"/>
      <c r="B557" s="15"/>
      <c r="C557" s="15"/>
      <c r="D557" s="15"/>
      <c r="E557" s="15"/>
      <c r="F557" s="15"/>
      <c r="G557" s="15"/>
      <c r="H557" s="16" t="str">
        <f aca="false">IF(OR(D557="",F557=""),"",IF(D557=F557,"Yes","No"))</f>
        <v/>
      </c>
      <c r="I557" s="15"/>
      <c r="J557" s="15"/>
      <c r="K557" s="15"/>
      <c r="L557" s="15"/>
    </row>
    <row r="558" customFormat="false" ht="15" hidden="false" customHeight="false" outlineLevel="0" collapsed="false">
      <c r="A558" s="15"/>
      <c r="B558" s="15"/>
      <c r="C558" s="15"/>
      <c r="D558" s="15"/>
      <c r="E558" s="15"/>
      <c r="F558" s="15"/>
      <c r="G558" s="15"/>
      <c r="H558" s="16" t="str">
        <f aca="false">IF(OR(D558="",F558=""),"",IF(D558=F558,"Yes","No"))</f>
        <v/>
      </c>
      <c r="I558" s="15"/>
      <c r="J558" s="15"/>
      <c r="K558" s="15"/>
      <c r="L558" s="15"/>
    </row>
    <row r="559" customFormat="false" ht="15" hidden="false" customHeight="false" outlineLevel="0" collapsed="false">
      <c r="A559" s="15"/>
      <c r="B559" s="15"/>
      <c r="C559" s="15"/>
      <c r="D559" s="15"/>
      <c r="E559" s="15"/>
      <c r="F559" s="15"/>
      <c r="G559" s="15"/>
      <c r="H559" s="16" t="str">
        <f aca="false">IF(OR(D559="",F559=""),"",IF(D559=F559,"Yes","No"))</f>
        <v/>
      </c>
      <c r="I559" s="15"/>
      <c r="J559" s="15"/>
      <c r="K559" s="15"/>
      <c r="L559" s="15"/>
    </row>
    <row r="560" customFormat="false" ht="15" hidden="false" customHeight="false" outlineLevel="0" collapsed="false">
      <c r="A560" s="15"/>
      <c r="B560" s="15"/>
      <c r="C560" s="15"/>
      <c r="D560" s="15"/>
      <c r="E560" s="15"/>
      <c r="F560" s="15"/>
      <c r="G560" s="15"/>
      <c r="H560" s="16" t="str">
        <f aca="false">IF(OR(D560="",F560=""),"",IF(D560=F560,"Yes","No"))</f>
        <v/>
      </c>
      <c r="I560" s="15"/>
      <c r="J560" s="15"/>
      <c r="K560" s="15"/>
      <c r="L560" s="15"/>
    </row>
    <row r="561" customFormat="false" ht="15" hidden="false" customHeight="false" outlineLevel="0" collapsed="false">
      <c r="A561" s="15"/>
      <c r="B561" s="15"/>
      <c r="C561" s="15"/>
      <c r="D561" s="15"/>
      <c r="E561" s="15"/>
      <c r="F561" s="15"/>
      <c r="G561" s="15"/>
      <c r="H561" s="16" t="str">
        <f aca="false">IF(OR(D561="",F561=""),"",IF(D561=F561,"Yes","No"))</f>
        <v/>
      </c>
      <c r="I561" s="15"/>
      <c r="J561" s="15"/>
      <c r="K561" s="15"/>
      <c r="L561" s="15"/>
    </row>
    <row r="562" customFormat="false" ht="15" hidden="false" customHeight="false" outlineLevel="0" collapsed="false">
      <c r="A562" s="15"/>
      <c r="B562" s="15"/>
      <c r="C562" s="15"/>
      <c r="D562" s="15"/>
      <c r="E562" s="15"/>
      <c r="F562" s="15"/>
      <c r="G562" s="15"/>
      <c r="H562" s="16" t="str">
        <f aca="false">IF(OR(D562="",F562=""),"",IF(D562=F562,"Yes","No"))</f>
        <v/>
      </c>
      <c r="I562" s="15"/>
      <c r="J562" s="15"/>
      <c r="K562" s="15"/>
      <c r="L562" s="15"/>
    </row>
    <row r="563" customFormat="false" ht="15" hidden="false" customHeight="false" outlineLevel="0" collapsed="false">
      <c r="A563" s="15"/>
      <c r="B563" s="15"/>
      <c r="C563" s="15"/>
      <c r="D563" s="15"/>
      <c r="E563" s="15"/>
      <c r="F563" s="15"/>
      <c r="G563" s="15"/>
      <c r="H563" s="16" t="str">
        <f aca="false">IF(OR(D563="",F563=""),"",IF(D563=F563,"Yes","No"))</f>
        <v/>
      </c>
      <c r="I563" s="15"/>
      <c r="J563" s="15"/>
      <c r="K563" s="15"/>
      <c r="L563" s="15"/>
    </row>
    <row r="564" customFormat="false" ht="15" hidden="false" customHeight="false" outlineLevel="0" collapsed="false">
      <c r="A564" s="15"/>
      <c r="B564" s="15"/>
      <c r="C564" s="15"/>
      <c r="D564" s="15"/>
      <c r="E564" s="15"/>
      <c r="F564" s="15"/>
      <c r="G564" s="15"/>
      <c r="H564" s="16" t="str">
        <f aca="false">IF(OR(D564="",F564=""),"",IF(D564=F564,"Yes","No"))</f>
        <v/>
      </c>
      <c r="I564" s="15"/>
      <c r="J564" s="15"/>
      <c r="K564" s="15"/>
      <c r="L564" s="15"/>
    </row>
    <row r="565" customFormat="false" ht="15" hidden="false" customHeight="false" outlineLevel="0" collapsed="false">
      <c r="A565" s="15"/>
      <c r="B565" s="15"/>
      <c r="C565" s="15"/>
      <c r="D565" s="15"/>
      <c r="E565" s="15"/>
      <c r="F565" s="15"/>
      <c r="G565" s="15"/>
      <c r="H565" s="16" t="str">
        <f aca="false">IF(OR(D565="",F565=""),"",IF(D565=F565,"Yes","No"))</f>
        <v/>
      </c>
      <c r="I565" s="15"/>
      <c r="J565" s="15"/>
      <c r="K565" s="15"/>
      <c r="L565" s="15"/>
    </row>
    <row r="566" customFormat="false" ht="15" hidden="false" customHeight="false" outlineLevel="0" collapsed="false">
      <c r="A566" s="15"/>
      <c r="B566" s="15"/>
      <c r="C566" s="15"/>
      <c r="D566" s="15"/>
      <c r="E566" s="15"/>
      <c r="F566" s="15"/>
      <c r="G566" s="15"/>
      <c r="H566" s="16" t="str">
        <f aca="false">IF(OR(D566="",F566=""),"",IF(D566=F566,"Yes","No"))</f>
        <v/>
      </c>
      <c r="I566" s="15"/>
      <c r="J566" s="15"/>
      <c r="K566" s="15"/>
      <c r="L566" s="15"/>
    </row>
    <row r="567" customFormat="false" ht="15" hidden="false" customHeight="false" outlineLevel="0" collapsed="false">
      <c r="A567" s="15"/>
      <c r="B567" s="15"/>
      <c r="C567" s="15"/>
      <c r="D567" s="15"/>
      <c r="E567" s="15"/>
      <c r="F567" s="15"/>
      <c r="G567" s="15"/>
      <c r="H567" s="16" t="str">
        <f aca="false">IF(OR(D567="",F567=""),"",IF(D567=F567,"Yes","No"))</f>
        <v/>
      </c>
      <c r="I567" s="15"/>
      <c r="J567" s="15"/>
      <c r="K567" s="15"/>
      <c r="L567" s="15"/>
    </row>
    <row r="568" customFormat="false" ht="15" hidden="false" customHeight="false" outlineLevel="0" collapsed="false">
      <c r="A568" s="15"/>
      <c r="B568" s="15"/>
      <c r="C568" s="15"/>
      <c r="D568" s="15"/>
      <c r="E568" s="15"/>
      <c r="F568" s="15"/>
      <c r="G568" s="15"/>
      <c r="H568" s="16" t="str">
        <f aca="false">IF(OR(D568="",F568=""),"",IF(D568=F568,"Yes","No"))</f>
        <v/>
      </c>
      <c r="I568" s="15"/>
      <c r="J568" s="15"/>
      <c r="K568" s="15"/>
      <c r="L568" s="15"/>
    </row>
    <row r="569" customFormat="false" ht="15" hidden="false" customHeight="false" outlineLevel="0" collapsed="false">
      <c r="A569" s="15"/>
      <c r="B569" s="15"/>
      <c r="C569" s="15"/>
      <c r="D569" s="15"/>
      <c r="E569" s="15"/>
      <c r="F569" s="15"/>
      <c r="G569" s="15"/>
      <c r="H569" s="16" t="str">
        <f aca="false">IF(OR(D569="",F569=""),"",IF(D569=F569,"Yes","No"))</f>
        <v/>
      </c>
      <c r="I569" s="15"/>
      <c r="J569" s="15"/>
      <c r="K569" s="15"/>
      <c r="L569" s="15"/>
    </row>
    <row r="570" customFormat="false" ht="15" hidden="false" customHeight="false" outlineLevel="0" collapsed="false">
      <c r="A570" s="15"/>
      <c r="B570" s="15"/>
      <c r="C570" s="15"/>
      <c r="D570" s="15"/>
      <c r="E570" s="15"/>
      <c r="F570" s="15"/>
      <c r="G570" s="15"/>
      <c r="H570" s="16" t="str">
        <f aca="false">IF(OR(D570="",F570=""),"",IF(D570=F570,"Yes","No"))</f>
        <v/>
      </c>
      <c r="I570" s="15"/>
      <c r="J570" s="15"/>
      <c r="K570" s="15"/>
      <c r="L570" s="15"/>
    </row>
    <row r="571" customFormat="false" ht="15" hidden="false" customHeight="false" outlineLevel="0" collapsed="false">
      <c r="A571" s="15"/>
      <c r="B571" s="15"/>
      <c r="C571" s="15"/>
      <c r="D571" s="15"/>
      <c r="E571" s="15"/>
      <c r="F571" s="15"/>
      <c r="G571" s="15"/>
      <c r="H571" s="16" t="str">
        <f aca="false">IF(OR(D571="",F571=""),"",IF(D571=F571,"Yes","No"))</f>
        <v/>
      </c>
      <c r="I571" s="15"/>
      <c r="J571" s="15"/>
      <c r="K571" s="15"/>
      <c r="L571" s="15"/>
    </row>
    <row r="572" customFormat="false" ht="15" hidden="false" customHeight="false" outlineLevel="0" collapsed="false">
      <c r="A572" s="15"/>
      <c r="B572" s="15"/>
      <c r="C572" s="15"/>
      <c r="D572" s="15"/>
      <c r="E572" s="15"/>
      <c r="F572" s="15"/>
      <c r="G572" s="15"/>
      <c r="H572" s="16" t="str">
        <f aca="false">IF(OR(D572="",F572=""),"",IF(D572=F572,"Yes","No"))</f>
        <v/>
      </c>
      <c r="I572" s="15"/>
      <c r="J572" s="15"/>
      <c r="K572" s="15"/>
      <c r="L572" s="15"/>
    </row>
    <row r="573" customFormat="false" ht="15" hidden="false" customHeight="false" outlineLevel="0" collapsed="false">
      <c r="A573" s="15"/>
      <c r="B573" s="15"/>
      <c r="C573" s="15"/>
      <c r="D573" s="15"/>
      <c r="E573" s="15"/>
      <c r="F573" s="15"/>
      <c r="G573" s="15"/>
      <c r="H573" s="16" t="str">
        <f aca="false">IF(OR(D573="",F573=""),"",IF(D573=F573,"Yes","No"))</f>
        <v/>
      </c>
      <c r="I573" s="15"/>
      <c r="J573" s="15"/>
      <c r="K573" s="15"/>
      <c r="L573" s="15"/>
    </row>
    <row r="574" customFormat="false" ht="15" hidden="false" customHeight="false" outlineLevel="0" collapsed="false">
      <c r="A574" s="15"/>
      <c r="B574" s="15"/>
      <c r="C574" s="15"/>
      <c r="D574" s="15"/>
      <c r="E574" s="15"/>
      <c r="F574" s="15"/>
      <c r="G574" s="15"/>
      <c r="H574" s="16" t="str">
        <f aca="false">IF(OR(D574="",F574=""),"",IF(D574=F574,"Yes","No"))</f>
        <v/>
      </c>
      <c r="I574" s="15"/>
      <c r="J574" s="15"/>
      <c r="K574" s="15"/>
      <c r="L574" s="15"/>
    </row>
    <row r="575" customFormat="false" ht="15" hidden="false" customHeight="false" outlineLevel="0" collapsed="false">
      <c r="A575" s="15"/>
      <c r="B575" s="15"/>
      <c r="C575" s="15"/>
      <c r="D575" s="15"/>
      <c r="E575" s="15"/>
      <c r="F575" s="15"/>
      <c r="G575" s="15"/>
      <c r="H575" s="16" t="str">
        <f aca="false">IF(OR(D575="",F575=""),"",IF(D575=F575,"Yes","No"))</f>
        <v/>
      </c>
      <c r="I575" s="15"/>
      <c r="J575" s="15"/>
      <c r="K575" s="15"/>
      <c r="L575" s="15"/>
    </row>
    <row r="576" customFormat="false" ht="15" hidden="false" customHeight="false" outlineLevel="0" collapsed="false">
      <c r="A576" s="15"/>
      <c r="B576" s="15"/>
      <c r="C576" s="15"/>
      <c r="D576" s="15"/>
      <c r="E576" s="15"/>
      <c r="F576" s="15"/>
      <c r="G576" s="15"/>
      <c r="H576" s="16" t="str">
        <f aca="false">IF(OR(D576="",F576=""),"",IF(D576=F576,"Yes","No"))</f>
        <v/>
      </c>
      <c r="I576" s="15"/>
      <c r="J576" s="15"/>
      <c r="K576" s="15"/>
      <c r="L576" s="15"/>
    </row>
    <row r="577" customFormat="false" ht="15" hidden="false" customHeight="false" outlineLevel="0" collapsed="false">
      <c r="A577" s="15"/>
      <c r="B577" s="15"/>
      <c r="C577" s="15"/>
      <c r="D577" s="15"/>
      <c r="E577" s="15"/>
      <c r="F577" s="15"/>
      <c r="G577" s="15"/>
      <c r="H577" s="16" t="str">
        <f aca="false">IF(OR(D577="",F577=""),"",IF(D577=F577,"Yes","No"))</f>
        <v/>
      </c>
      <c r="I577" s="15"/>
      <c r="J577" s="15"/>
      <c r="K577" s="15"/>
      <c r="L577" s="15"/>
    </row>
    <row r="578" customFormat="false" ht="15" hidden="false" customHeight="false" outlineLevel="0" collapsed="false">
      <c r="A578" s="15"/>
      <c r="B578" s="15"/>
      <c r="C578" s="15"/>
      <c r="D578" s="15"/>
      <c r="E578" s="15"/>
      <c r="F578" s="15"/>
      <c r="G578" s="15"/>
      <c r="H578" s="16" t="str">
        <f aca="false">IF(OR(D578="",F578=""),"",IF(D578=F578,"Yes","No"))</f>
        <v/>
      </c>
      <c r="I578" s="15"/>
      <c r="J578" s="15"/>
      <c r="K578" s="15"/>
      <c r="L578" s="15"/>
    </row>
    <row r="579" customFormat="false" ht="15" hidden="false" customHeight="false" outlineLevel="0" collapsed="false">
      <c r="A579" s="15"/>
      <c r="B579" s="15"/>
      <c r="C579" s="15"/>
      <c r="D579" s="15"/>
      <c r="E579" s="15"/>
      <c r="F579" s="15"/>
      <c r="G579" s="15"/>
      <c r="H579" s="16" t="str">
        <f aca="false">IF(OR(D579="",F579=""),"",IF(D579=F579,"Yes","No"))</f>
        <v/>
      </c>
      <c r="I579" s="15"/>
      <c r="J579" s="15"/>
      <c r="K579" s="15"/>
      <c r="L579" s="15"/>
    </row>
    <row r="580" customFormat="false" ht="15" hidden="false" customHeight="false" outlineLevel="0" collapsed="false">
      <c r="A580" s="15"/>
      <c r="B580" s="15"/>
      <c r="C580" s="15"/>
      <c r="D580" s="15"/>
      <c r="E580" s="15"/>
      <c r="F580" s="15"/>
      <c r="G580" s="15"/>
      <c r="H580" s="16" t="str">
        <f aca="false">IF(OR(D580="",F580=""),"",IF(D580=F580,"Yes","No"))</f>
        <v/>
      </c>
      <c r="I580" s="15"/>
      <c r="J580" s="15"/>
      <c r="K580" s="15"/>
      <c r="L580" s="15"/>
    </row>
    <row r="581" customFormat="false" ht="15" hidden="false" customHeight="false" outlineLevel="0" collapsed="false">
      <c r="A581" s="15"/>
      <c r="B581" s="15"/>
      <c r="C581" s="15"/>
      <c r="D581" s="15"/>
      <c r="E581" s="15"/>
      <c r="F581" s="15"/>
      <c r="G581" s="15"/>
      <c r="H581" s="16" t="str">
        <f aca="false">IF(OR(D581="",F581=""),"",IF(D581=F581,"Yes","No"))</f>
        <v/>
      </c>
      <c r="I581" s="15"/>
      <c r="J581" s="15"/>
      <c r="K581" s="15"/>
      <c r="L581" s="15"/>
    </row>
    <row r="582" customFormat="false" ht="15" hidden="false" customHeight="false" outlineLevel="0" collapsed="false">
      <c r="A582" s="15"/>
      <c r="B582" s="15"/>
      <c r="C582" s="15"/>
      <c r="D582" s="15"/>
      <c r="E582" s="15"/>
      <c r="F582" s="15"/>
      <c r="G582" s="15"/>
      <c r="H582" s="16" t="str">
        <f aca="false">IF(OR(D582="",F582=""),"",IF(D582=F582,"Yes","No"))</f>
        <v/>
      </c>
      <c r="I582" s="15"/>
      <c r="J582" s="15"/>
      <c r="K582" s="15"/>
      <c r="L582" s="15"/>
    </row>
    <row r="583" customFormat="false" ht="15" hidden="false" customHeight="false" outlineLevel="0" collapsed="false">
      <c r="A583" s="15"/>
      <c r="B583" s="15"/>
      <c r="C583" s="15"/>
      <c r="D583" s="15"/>
      <c r="E583" s="15"/>
      <c r="F583" s="15"/>
      <c r="G583" s="15"/>
      <c r="H583" s="16" t="str">
        <f aca="false">IF(OR(D583="",F583=""),"",IF(D583=F583,"Yes","No"))</f>
        <v/>
      </c>
      <c r="I583" s="15"/>
      <c r="J583" s="15"/>
      <c r="K583" s="15"/>
      <c r="L583" s="15"/>
    </row>
    <row r="584" customFormat="false" ht="15" hidden="false" customHeight="false" outlineLevel="0" collapsed="false">
      <c r="A584" s="15"/>
      <c r="B584" s="15"/>
      <c r="C584" s="15"/>
      <c r="D584" s="15"/>
      <c r="E584" s="15"/>
      <c r="F584" s="15"/>
      <c r="G584" s="15"/>
      <c r="H584" s="16" t="str">
        <f aca="false">IF(OR(D584="",F584=""),"",IF(D584=F584,"Yes","No"))</f>
        <v/>
      </c>
      <c r="I584" s="15"/>
      <c r="J584" s="15"/>
      <c r="K584" s="15"/>
      <c r="L584" s="15"/>
    </row>
    <row r="585" customFormat="false" ht="15" hidden="false" customHeight="false" outlineLevel="0" collapsed="false">
      <c r="A585" s="15"/>
      <c r="B585" s="15"/>
      <c r="C585" s="15"/>
      <c r="D585" s="15"/>
      <c r="E585" s="15"/>
      <c r="F585" s="15"/>
      <c r="G585" s="15"/>
      <c r="H585" s="16" t="str">
        <f aca="false">IF(OR(D585="",F585=""),"",IF(D585=F585,"Yes","No"))</f>
        <v/>
      </c>
      <c r="I585" s="15"/>
      <c r="J585" s="15"/>
      <c r="K585" s="15"/>
      <c r="L585" s="15"/>
    </row>
    <row r="586" customFormat="false" ht="15" hidden="false" customHeight="false" outlineLevel="0" collapsed="false">
      <c r="A586" s="15"/>
      <c r="B586" s="15"/>
      <c r="C586" s="15"/>
      <c r="D586" s="15"/>
      <c r="E586" s="15"/>
      <c r="F586" s="15"/>
      <c r="G586" s="15"/>
      <c r="H586" s="16" t="str">
        <f aca="false">IF(OR(D586="",F586=""),"",IF(D586=F586,"Yes","No"))</f>
        <v/>
      </c>
      <c r="I586" s="15"/>
      <c r="J586" s="15"/>
      <c r="K586" s="15"/>
      <c r="L586" s="15"/>
    </row>
    <row r="587" customFormat="false" ht="15" hidden="false" customHeight="false" outlineLevel="0" collapsed="false">
      <c r="A587" s="15"/>
      <c r="B587" s="15"/>
      <c r="C587" s="15"/>
      <c r="D587" s="15"/>
      <c r="E587" s="15"/>
      <c r="F587" s="15"/>
      <c r="G587" s="15"/>
      <c r="H587" s="16" t="str">
        <f aca="false">IF(OR(D587="",F587=""),"",IF(D587=F587,"Yes","No"))</f>
        <v/>
      </c>
      <c r="I587" s="15"/>
      <c r="J587" s="15"/>
      <c r="K587" s="15"/>
      <c r="L587" s="15"/>
    </row>
    <row r="588" customFormat="false" ht="15" hidden="false" customHeight="false" outlineLevel="0" collapsed="false">
      <c r="A588" s="15"/>
      <c r="B588" s="15"/>
      <c r="C588" s="15"/>
      <c r="D588" s="15"/>
      <c r="E588" s="15"/>
      <c r="F588" s="15"/>
      <c r="G588" s="15"/>
      <c r="H588" s="16" t="str">
        <f aca="false">IF(OR(D588="",F588=""),"",IF(D588=F588,"Yes","No"))</f>
        <v/>
      </c>
      <c r="I588" s="15"/>
      <c r="J588" s="15"/>
      <c r="K588" s="15"/>
      <c r="L588" s="15"/>
    </row>
    <row r="589" customFormat="false" ht="15" hidden="false" customHeight="false" outlineLevel="0" collapsed="false">
      <c r="A589" s="15"/>
      <c r="B589" s="15"/>
      <c r="C589" s="15"/>
      <c r="D589" s="15"/>
      <c r="E589" s="15"/>
      <c r="F589" s="15"/>
      <c r="G589" s="15"/>
      <c r="H589" s="16" t="str">
        <f aca="false">IF(OR(D589="",F589=""),"",IF(D589=F589,"Yes","No"))</f>
        <v/>
      </c>
      <c r="I589" s="15"/>
      <c r="J589" s="15"/>
      <c r="K589" s="15"/>
      <c r="L589" s="15"/>
    </row>
    <row r="590" customFormat="false" ht="15" hidden="false" customHeight="false" outlineLevel="0" collapsed="false">
      <c r="A590" s="15"/>
      <c r="B590" s="15"/>
      <c r="C590" s="15"/>
      <c r="D590" s="15"/>
      <c r="E590" s="15"/>
      <c r="F590" s="15"/>
      <c r="G590" s="15"/>
      <c r="H590" s="16" t="str">
        <f aca="false">IF(OR(D590="",F590=""),"",IF(D590=F590,"Yes","No"))</f>
        <v/>
      </c>
      <c r="I590" s="15"/>
      <c r="J590" s="15"/>
      <c r="K590" s="15"/>
      <c r="L590" s="15"/>
    </row>
    <row r="591" customFormat="false" ht="15" hidden="false" customHeight="false" outlineLevel="0" collapsed="false">
      <c r="A591" s="15"/>
      <c r="B591" s="15"/>
      <c r="C591" s="15"/>
      <c r="D591" s="15"/>
      <c r="E591" s="15"/>
      <c r="F591" s="15"/>
      <c r="G591" s="15"/>
      <c r="H591" s="16" t="str">
        <f aca="false">IF(OR(D591="",F591=""),"",IF(D591=F591,"Yes","No"))</f>
        <v/>
      </c>
      <c r="I591" s="15"/>
      <c r="J591" s="15"/>
      <c r="K591" s="15"/>
      <c r="L591" s="15"/>
    </row>
    <row r="592" customFormat="false" ht="15" hidden="false" customHeight="false" outlineLevel="0" collapsed="false">
      <c r="A592" s="15"/>
      <c r="B592" s="15"/>
      <c r="C592" s="15"/>
      <c r="D592" s="15"/>
      <c r="E592" s="15"/>
      <c r="F592" s="15"/>
      <c r="G592" s="15"/>
      <c r="H592" s="16" t="str">
        <f aca="false">IF(OR(D592="",F592=""),"",IF(D592=F592,"Yes","No"))</f>
        <v/>
      </c>
      <c r="I592" s="15"/>
      <c r="J592" s="15"/>
      <c r="K592" s="15"/>
      <c r="L592" s="15"/>
    </row>
    <row r="593" customFormat="false" ht="15" hidden="false" customHeight="false" outlineLevel="0" collapsed="false">
      <c r="A593" s="15"/>
      <c r="B593" s="15"/>
      <c r="C593" s="15"/>
      <c r="D593" s="15"/>
      <c r="E593" s="15"/>
      <c r="F593" s="15"/>
      <c r="G593" s="15"/>
      <c r="H593" s="16" t="str">
        <f aca="false">IF(OR(D593="",F593=""),"",IF(D593=F593,"Yes","No"))</f>
        <v/>
      </c>
      <c r="I593" s="15"/>
      <c r="J593" s="15"/>
      <c r="K593" s="15"/>
      <c r="L593" s="15"/>
    </row>
    <row r="594" customFormat="false" ht="15" hidden="false" customHeight="false" outlineLevel="0" collapsed="false">
      <c r="A594" s="15"/>
      <c r="B594" s="15"/>
      <c r="C594" s="15"/>
      <c r="D594" s="15"/>
      <c r="E594" s="15"/>
      <c r="F594" s="15"/>
      <c r="G594" s="15"/>
      <c r="H594" s="16" t="str">
        <f aca="false">IF(OR(D594="",F594=""),"",IF(D594=F594,"Yes","No"))</f>
        <v/>
      </c>
      <c r="I594" s="15"/>
      <c r="J594" s="15"/>
      <c r="K594" s="15"/>
      <c r="L594" s="15"/>
    </row>
    <row r="595" customFormat="false" ht="15" hidden="false" customHeight="false" outlineLevel="0" collapsed="false">
      <c r="A595" s="15"/>
      <c r="B595" s="15"/>
      <c r="C595" s="15"/>
      <c r="D595" s="15"/>
      <c r="E595" s="15"/>
      <c r="F595" s="15"/>
      <c r="G595" s="15"/>
      <c r="H595" s="16" t="str">
        <f aca="false">IF(OR(D595="",F595=""),"",IF(D595=F595,"Yes","No"))</f>
        <v/>
      </c>
      <c r="I595" s="15"/>
      <c r="J595" s="15"/>
      <c r="K595" s="15"/>
      <c r="L595" s="15"/>
    </row>
    <row r="596" customFormat="false" ht="15" hidden="false" customHeight="false" outlineLevel="0" collapsed="false">
      <c r="A596" s="15"/>
      <c r="B596" s="15"/>
      <c r="C596" s="15"/>
      <c r="D596" s="15"/>
      <c r="E596" s="15"/>
      <c r="F596" s="15"/>
      <c r="G596" s="15"/>
      <c r="H596" s="16" t="str">
        <f aca="false">IF(OR(D596="",F596=""),"",IF(D596=F596,"Yes","No"))</f>
        <v/>
      </c>
      <c r="I596" s="15"/>
      <c r="J596" s="15"/>
      <c r="K596" s="15"/>
      <c r="L596" s="15"/>
    </row>
    <row r="597" customFormat="false" ht="15" hidden="false" customHeight="false" outlineLevel="0" collapsed="false">
      <c r="A597" s="15"/>
      <c r="B597" s="15"/>
      <c r="C597" s="15"/>
      <c r="D597" s="15"/>
      <c r="E597" s="15"/>
      <c r="F597" s="15"/>
      <c r="G597" s="15"/>
      <c r="H597" s="16" t="str">
        <f aca="false">IF(OR(D597="",F597=""),"",IF(D597=F597,"Yes","No"))</f>
        <v/>
      </c>
      <c r="I597" s="15"/>
      <c r="J597" s="15"/>
      <c r="K597" s="15"/>
      <c r="L597" s="15"/>
    </row>
    <row r="598" customFormat="false" ht="15" hidden="false" customHeight="false" outlineLevel="0" collapsed="false">
      <c r="A598" s="15"/>
      <c r="B598" s="15"/>
      <c r="C598" s="15"/>
      <c r="D598" s="15"/>
      <c r="E598" s="15"/>
      <c r="F598" s="15"/>
      <c r="G598" s="15"/>
      <c r="H598" s="16" t="str">
        <f aca="false">IF(OR(D598="",F598=""),"",IF(D598=F598,"Yes","No"))</f>
        <v/>
      </c>
      <c r="I598" s="15"/>
      <c r="J598" s="15"/>
      <c r="K598" s="15"/>
      <c r="L598" s="15"/>
    </row>
    <row r="599" customFormat="false" ht="15" hidden="false" customHeight="false" outlineLevel="0" collapsed="false">
      <c r="A599" s="15"/>
      <c r="B599" s="15"/>
      <c r="C599" s="15"/>
      <c r="D599" s="15"/>
      <c r="E599" s="15"/>
      <c r="F599" s="15"/>
      <c r="G599" s="15"/>
      <c r="H599" s="16" t="str">
        <f aca="false">IF(OR(D599="",F599=""),"",IF(D599=F599,"Yes","No"))</f>
        <v/>
      </c>
      <c r="I599" s="15"/>
      <c r="J599" s="15"/>
      <c r="K599" s="15"/>
      <c r="L599" s="15"/>
    </row>
    <row r="600" customFormat="false" ht="15" hidden="false" customHeight="false" outlineLevel="0" collapsed="false">
      <c r="A600" s="15"/>
      <c r="B600" s="15"/>
      <c r="C600" s="15"/>
      <c r="D600" s="15"/>
      <c r="E600" s="15"/>
      <c r="F600" s="15"/>
      <c r="G600" s="15"/>
      <c r="H600" s="16" t="str">
        <f aca="false">IF(OR(D600="",F600=""),"",IF(D600=F600,"Yes","No"))</f>
        <v/>
      </c>
      <c r="I600" s="15"/>
      <c r="J600" s="15"/>
      <c r="K600" s="15"/>
      <c r="L600" s="15"/>
    </row>
    <row r="601" customFormat="false" ht="15" hidden="false" customHeight="false" outlineLevel="0" collapsed="false">
      <c r="A601" s="15"/>
      <c r="B601" s="15"/>
      <c r="C601" s="15"/>
      <c r="D601" s="15"/>
      <c r="E601" s="15"/>
      <c r="F601" s="15"/>
      <c r="G601" s="15"/>
      <c r="H601" s="16" t="str">
        <f aca="false">IF(OR(D601="",F601=""),"",IF(D601=F601,"Yes","No"))</f>
        <v/>
      </c>
      <c r="I601" s="15"/>
      <c r="J601" s="15"/>
      <c r="K601" s="15"/>
      <c r="L601" s="15"/>
    </row>
    <row r="602" customFormat="false" ht="15" hidden="false" customHeight="false" outlineLevel="0" collapsed="false">
      <c r="A602" s="15"/>
      <c r="B602" s="15"/>
      <c r="C602" s="15"/>
      <c r="D602" s="15"/>
      <c r="E602" s="15"/>
      <c r="F602" s="15"/>
      <c r="G602" s="15"/>
      <c r="H602" s="16" t="str">
        <f aca="false">IF(OR(D602="",F602=""),"",IF(D602=F602,"Yes","No"))</f>
        <v/>
      </c>
      <c r="I602" s="15"/>
      <c r="J602" s="15"/>
      <c r="K602" s="15"/>
      <c r="L602" s="15"/>
    </row>
    <row r="603" customFormat="false" ht="15" hidden="false" customHeight="false" outlineLevel="0" collapsed="false">
      <c r="A603" s="15"/>
      <c r="B603" s="15"/>
      <c r="C603" s="15"/>
      <c r="D603" s="15"/>
      <c r="E603" s="15"/>
      <c r="F603" s="15"/>
      <c r="G603" s="15"/>
      <c r="H603" s="16" t="str">
        <f aca="false">IF(OR(D603="",F603=""),"",IF(D603=F603,"Yes","No"))</f>
        <v/>
      </c>
      <c r="I603" s="15"/>
      <c r="J603" s="15"/>
      <c r="K603" s="15"/>
      <c r="L603" s="15"/>
    </row>
    <row r="604" customFormat="false" ht="15" hidden="false" customHeight="false" outlineLevel="0" collapsed="false">
      <c r="A604" s="15"/>
      <c r="B604" s="15"/>
      <c r="C604" s="15"/>
      <c r="D604" s="15"/>
      <c r="E604" s="15"/>
      <c r="F604" s="15"/>
      <c r="G604" s="15"/>
      <c r="H604" s="16" t="str">
        <f aca="false">IF(OR(D604="",F604=""),"",IF(D604=F604,"Yes","No"))</f>
        <v/>
      </c>
      <c r="I604" s="15"/>
      <c r="J604" s="15"/>
      <c r="K604" s="15"/>
      <c r="L604" s="15"/>
    </row>
    <row r="605" customFormat="false" ht="15" hidden="false" customHeight="false" outlineLevel="0" collapsed="false">
      <c r="A605" s="15"/>
      <c r="B605" s="15"/>
      <c r="C605" s="15"/>
      <c r="D605" s="15"/>
      <c r="E605" s="15"/>
      <c r="F605" s="15"/>
      <c r="G605" s="15"/>
      <c r="H605" s="16" t="str">
        <f aca="false">IF(OR(D605="",F605=""),"",IF(D605=F605,"Yes","No"))</f>
        <v/>
      </c>
      <c r="I605" s="15"/>
      <c r="J605" s="15"/>
      <c r="K605" s="15"/>
      <c r="L605" s="15"/>
    </row>
    <row r="606" customFormat="false" ht="15" hidden="false" customHeight="false" outlineLevel="0" collapsed="false">
      <c r="A606" s="15"/>
      <c r="B606" s="15"/>
      <c r="C606" s="15"/>
      <c r="D606" s="15"/>
      <c r="E606" s="15"/>
      <c r="F606" s="15"/>
      <c r="G606" s="15"/>
      <c r="H606" s="16" t="str">
        <f aca="false">IF(OR(D606="",F606=""),"",IF(D606=F606,"Yes","No"))</f>
        <v/>
      </c>
      <c r="I606" s="15"/>
      <c r="J606" s="15"/>
      <c r="K606" s="15"/>
      <c r="L606" s="15"/>
    </row>
    <row r="607" customFormat="false" ht="15" hidden="false" customHeight="false" outlineLevel="0" collapsed="false">
      <c r="A607" s="15"/>
      <c r="B607" s="15"/>
      <c r="C607" s="15"/>
      <c r="D607" s="15"/>
      <c r="E607" s="15"/>
      <c r="F607" s="15"/>
      <c r="G607" s="15"/>
      <c r="H607" s="16" t="str">
        <f aca="false">IF(OR(D607="",F607=""),"",IF(D607=F607,"Yes","No"))</f>
        <v/>
      </c>
      <c r="I607" s="15"/>
      <c r="J607" s="15"/>
      <c r="K607" s="15"/>
      <c r="L607" s="15"/>
    </row>
    <row r="608" customFormat="false" ht="15" hidden="false" customHeight="false" outlineLevel="0" collapsed="false">
      <c r="A608" s="15"/>
      <c r="B608" s="15"/>
      <c r="C608" s="15"/>
      <c r="D608" s="15"/>
      <c r="E608" s="15"/>
      <c r="F608" s="15"/>
      <c r="G608" s="15"/>
      <c r="H608" s="16" t="str">
        <f aca="false">IF(OR(D608="",F608=""),"",IF(D608=F608,"Yes","No"))</f>
        <v/>
      </c>
      <c r="I608" s="15"/>
      <c r="J608" s="15"/>
      <c r="K608" s="15"/>
      <c r="L608" s="15"/>
    </row>
    <row r="609" customFormat="false" ht="15" hidden="false" customHeight="false" outlineLevel="0" collapsed="false">
      <c r="A609" s="15"/>
      <c r="B609" s="15"/>
      <c r="C609" s="15"/>
      <c r="D609" s="15"/>
      <c r="E609" s="15"/>
      <c r="F609" s="15"/>
      <c r="G609" s="15"/>
      <c r="H609" s="16" t="str">
        <f aca="false">IF(OR(D609="",F609=""),"",IF(D609=F609,"Yes","No"))</f>
        <v/>
      </c>
      <c r="I609" s="15"/>
      <c r="J609" s="15"/>
      <c r="K609" s="15"/>
      <c r="L609" s="15"/>
    </row>
    <row r="610" customFormat="false" ht="15" hidden="false" customHeight="false" outlineLevel="0" collapsed="false">
      <c r="A610" s="15"/>
      <c r="B610" s="15"/>
      <c r="C610" s="15"/>
      <c r="D610" s="15"/>
      <c r="E610" s="15"/>
      <c r="F610" s="15"/>
      <c r="G610" s="15"/>
      <c r="H610" s="16" t="str">
        <f aca="false">IF(OR(D610="",F610=""),"",IF(D610=F610,"Yes","No"))</f>
        <v/>
      </c>
      <c r="I610" s="15"/>
      <c r="J610" s="15"/>
      <c r="K610" s="15"/>
      <c r="L610" s="15"/>
    </row>
    <row r="611" customFormat="false" ht="15" hidden="false" customHeight="false" outlineLevel="0" collapsed="false">
      <c r="A611" s="15"/>
      <c r="B611" s="15"/>
      <c r="C611" s="15"/>
      <c r="D611" s="15"/>
      <c r="E611" s="15"/>
      <c r="F611" s="15"/>
      <c r="G611" s="15"/>
      <c r="H611" s="16" t="str">
        <f aca="false">IF(OR(D611="",F611=""),"",IF(D611=F611,"Yes","No"))</f>
        <v/>
      </c>
      <c r="I611" s="15"/>
      <c r="J611" s="15"/>
      <c r="K611" s="15"/>
      <c r="L611" s="15"/>
    </row>
    <row r="612" customFormat="false" ht="15" hidden="false" customHeight="false" outlineLevel="0" collapsed="false">
      <c r="A612" s="15"/>
      <c r="B612" s="15"/>
      <c r="C612" s="15"/>
      <c r="D612" s="15"/>
      <c r="E612" s="15"/>
      <c r="F612" s="15"/>
      <c r="G612" s="15"/>
      <c r="H612" s="16" t="str">
        <f aca="false">IF(OR(D612="",F612=""),"",IF(D612=F612,"Yes","No"))</f>
        <v/>
      </c>
      <c r="I612" s="15"/>
      <c r="J612" s="15"/>
      <c r="K612" s="15"/>
      <c r="L612" s="15"/>
    </row>
    <row r="613" customFormat="false" ht="15" hidden="false" customHeight="false" outlineLevel="0" collapsed="false">
      <c r="A613" s="15"/>
      <c r="B613" s="15"/>
      <c r="C613" s="15"/>
      <c r="D613" s="15"/>
      <c r="E613" s="15"/>
      <c r="F613" s="15"/>
      <c r="G613" s="15"/>
      <c r="H613" s="16" t="str">
        <f aca="false">IF(OR(D613="",F613=""),"",IF(D613=F613,"Yes","No"))</f>
        <v/>
      </c>
      <c r="I613" s="15"/>
      <c r="J613" s="15"/>
      <c r="K613" s="15"/>
      <c r="L613" s="15"/>
    </row>
    <row r="614" customFormat="false" ht="15" hidden="false" customHeight="false" outlineLevel="0" collapsed="false">
      <c r="A614" s="15"/>
      <c r="B614" s="15"/>
      <c r="C614" s="15"/>
      <c r="D614" s="15"/>
      <c r="E614" s="15"/>
      <c r="F614" s="15"/>
      <c r="G614" s="15"/>
      <c r="H614" s="16" t="str">
        <f aca="false">IF(OR(D614="",F614=""),"",IF(D614=F614,"Yes","No"))</f>
        <v/>
      </c>
      <c r="I614" s="15"/>
      <c r="J614" s="15"/>
      <c r="K614" s="15"/>
      <c r="L614" s="15"/>
    </row>
    <row r="615" customFormat="false" ht="15" hidden="false" customHeight="false" outlineLevel="0" collapsed="false">
      <c r="A615" s="15"/>
      <c r="B615" s="15"/>
      <c r="C615" s="15"/>
      <c r="D615" s="15"/>
      <c r="E615" s="15"/>
      <c r="F615" s="15"/>
      <c r="G615" s="15"/>
      <c r="H615" s="16" t="str">
        <f aca="false">IF(OR(D615="",F615=""),"",IF(D615=F615,"Yes","No"))</f>
        <v/>
      </c>
      <c r="I615" s="15"/>
      <c r="J615" s="15"/>
      <c r="K615" s="15"/>
      <c r="L615" s="15"/>
    </row>
    <row r="616" customFormat="false" ht="15" hidden="false" customHeight="false" outlineLevel="0" collapsed="false">
      <c r="A616" s="15"/>
      <c r="B616" s="15"/>
      <c r="C616" s="15"/>
      <c r="D616" s="15"/>
      <c r="E616" s="15"/>
      <c r="F616" s="15"/>
      <c r="G616" s="15"/>
      <c r="H616" s="16" t="str">
        <f aca="false">IF(OR(D616="",F616=""),"",IF(D616=F616,"Yes","No"))</f>
        <v/>
      </c>
      <c r="I616" s="15"/>
      <c r="J616" s="15"/>
      <c r="K616" s="15"/>
      <c r="L616" s="15"/>
    </row>
    <row r="617" customFormat="false" ht="15" hidden="false" customHeight="false" outlineLevel="0" collapsed="false">
      <c r="A617" s="15"/>
      <c r="B617" s="15"/>
      <c r="C617" s="15"/>
      <c r="D617" s="15"/>
      <c r="E617" s="15"/>
      <c r="F617" s="15"/>
      <c r="G617" s="15"/>
      <c r="H617" s="16" t="str">
        <f aca="false">IF(OR(D617="",F617=""),"",IF(D617=F617,"Yes","No"))</f>
        <v/>
      </c>
      <c r="I617" s="15"/>
      <c r="J617" s="15"/>
      <c r="K617" s="15"/>
      <c r="L617" s="15"/>
    </row>
    <row r="618" customFormat="false" ht="15" hidden="false" customHeight="false" outlineLevel="0" collapsed="false">
      <c r="A618" s="15"/>
      <c r="B618" s="15"/>
      <c r="C618" s="15"/>
      <c r="D618" s="15"/>
      <c r="E618" s="15"/>
      <c r="F618" s="15"/>
      <c r="G618" s="15"/>
      <c r="H618" s="16" t="str">
        <f aca="false">IF(OR(D618="",F618=""),"",IF(D618=F618,"Yes","No"))</f>
        <v/>
      </c>
      <c r="I618" s="15"/>
      <c r="J618" s="15"/>
      <c r="K618" s="15"/>
      <c r="L618" s="15"/>
    </row>
    <row r="619" customFormat="false" ht="15" hidden="false" customHeight="false" outlineLevel="0" collapsed="false">
      <c r="A619" s="15"/>
      <c r="B619" s="15"/>
      <c r="C619" s="15"/>
      <c r="D619" s="15"/>
      <c r="E619" s="15"/>
      <c r="F619" s="15"/>
      <c r="G619" s="15"/>
      <c r="H619" s="16" t="str">
        <f aca="false">IF(OR(D619="",F619=""),"",IF(D619=F619,"Yes","No"))</f>
        <v/>
      </c>
      <c r="I619" s="15"/>
      <c r="J619" s="15"/>
      <c r="K619" s="15"/>
      <c r="L619" s="15"/>
    </row>
    <row r="620" customFormat="false" ht="15" hidden="false" customHeight="false" outlineLevel="0" collapsed="false">
      <c r="A620" s="15"/>
      <c r="B620" s="15"/>
      <c r="C620" s="15"/>
      <c r="D620" s="15"/>
      <c r="E620" s="15"/>
      <c r="F620" s="15"/>
      <c r="G620" s="15"/>
      <c r="H620" s="16" t="str">
        <f aca="false">IF(OR(D620="",F620=""),"",IF(D620=F620,"Yes","No"))</f>
        <v/>
      </c>
      <c r="I620" s="15"/>
      <c r="J620" s="15"/>
      <c r="K620" s="15"/>
      <c r="L620" s="15"/>
    </row>
    <row r="621" customFormat="false" ht="15" hidden="false" customHeight="false" outlineLevel="0" collapsed="false">
      <c r="A621" s="15"/>
      <c r="B621" s="15"/>
      <c r="C621" s="15"/>
      <c r="D621" s="15"/>
      <c r="E621" s="15"/>
      <c r="F621" s="15"/>
      <c r="G621" s="15"/>
      <c r="H621" s="16" t="str">
        <f aca="false">IF(OR(D621="",F621=""),"",IF(D621=F621,"Yes","No"))</f>
        <v/>
      </c>
      <c r="I621" s="15"/>
      <c r="J621" s="15"/>
      <c r="K621" s="15"/>
      <c r="L621" s="15"/>
    </row>
    <row r="622" customFormat="false" ht="15" hidden="false" customHeight="false" outlineLevel="0" collapsed="false">
      <c r="A622" s="15"/>
      <c r="B622" s="15"/>
      <c r="C622" s="15"/>
      <c r="D622" s="15"/>
      <c r="E622" s="15"/>
      <c r="F622" s="15"/>
      <c r="G622" s="15"/>
      <c r="H622" s="16" t="str">
        <f aca="false">IF(OR(D622="",F622=""),"",IF(D622=F622,"Yes","No"))</f>
        <v/>
      </c>
      <c r="I622" s="15"/>
      <c r="J622" s="15"/>
      <c r="K622" s="15"/>
      <c r="L622" s="15"/>
    </row>
    <row r="623" customFormat="false" ht="15" hidden="false" customHeight="false" outlineLevel="0" collapsed="false">
      <c r="A623" s="15"/>
      <c r="B623" s="15"/>
      <c r="C623" s="15"/>
      <c r="D623" s="15"/>
      <c r="E623" s="15"/>
      <c r="F623" s="15"/>
      <c r="G623" s="15"/>
      <c r="H623" s="16" t="str">
        <f aca="false">IF(OR(D623="",F623=""),"",IF(D623=F623,"Yes","No"))</f>
        <v/>
      </c>
      <c r="I623" s="15"/>
      <c r="J623" s="15"/>
      <c r="K623" s="15"/>
      <c r="L623" s="15"/>
    </row>
    <row r="624" customFormat="false" ht="15" hidden="false" customHeight="false" outlineLevel="0" collapsed="false">
      <c r="A624" s="15"/>
      <c r="B624" s="15"/>
      <c r="C624" s="15"/>
      <c r="D624" s="15"/>
      <c r="E624" s="15"/>
      <c r="F624" s="15"/>
      <c r="G624" s="15"/>
      <c r="H624" s="16" t="str">
        <f aca="false">IF(OR(D624="",F624=""),"",IF(D624=F624,"Yes","No"))</f>
        <v/>
      </c>
      <c r="I624" s="15"/>
      <c r="J624" s="15"/>
      <c r="K624" s="15"/>
      <c r="L624" s="15"/>
    </row>
    <row r="625" customFormat="false" ht="15" hidden="false" customHeight="false" outlineLevel="0" collapsed="false">
      <c r="A625" s="15"/>
      <c r="B625" s="15"/>
      <c r="C625" s="15"/>
      <c r="D625" s="15"/>
      <c r="E625" s="15"/>
      <c r="F625" s="15"/>
      <c r="G625" s="15"/>
      <c r="H625" s="16" t="str">
        <f aca="false">IF(OR(D625="",F625=""),"",IF(D625=F625,"Yes","No"))</f>
        <v/>
      </c>
      <c r="I625" s="15"/>
      <c r="J625" s="15"/>
      <c r="K625" s="15"/>
      <c r="L625" s="15"/>
    </row>
    <row r="626" customFormat="false" ht="15" hidden="false" customHeight="false" outlineLevel="0" collapsed="false">
      <c r="A626" s="15"/>
      <c r="B626" s="15"/>
      <c r="C626" s="15"/>
      <c r="D626" s="15"/>
      <c r="E626" s="15"/>
      <c r="F626" s="15"/>
      <c r="G626" s="15"/>
      <c r="H626" s="16" t="str">
        <f aca="false">IF(OR(D626="",F626=""),"",IF(D626=F626,"Yes","No"))</f>
        <v/>
      </c>
      <c r="I626" s="15"/>
      <c r="J626" s="15"/>
      <c r="K626" s="15"/>
      <c r="L626" s="15"/>
    </row>
    <row r="627" customFormat="false" ht="15" hidden="false" customHeight="false" outlineLevel="0" collapsed="false">
      <c r="A627" s="15"/>
      <c r="B627" s="15"/>
      <c r="C627" s="15"/>
      <c r="D627" s="15"/>
      <c r="E627" s="15"/>
      <c r="F627" s="15"/>
      <c r="G627" s="15"/>
      <c r="H627" s="16" t="str">
        <f aca="false">IF(OR(D627="",F627=""),"",IF(D627=F627,"Yes","No"))</f>
        <v/>
      </c>
      <c r="I627" s="15"/>
      <c r="J627" s="15"/>
      <c r="K627" s="15"/>
      <c r="L627" s="15"/>
    </row>
    <row r="628" customFormat="false" ht="15" hidden="false" customHeight="false" outlineLevel="0" collapsed="false">
      <c r="A628" s="15"/>
      <c r="B628" s="15"/>
      <c r="C628" s="15"/>
      <c r="D628" s="15"/>
      <c r="E628" s="15"/>
      <c r="F628" s="15"/>
      <c r="G628" s="15"/>
      <c r="H628" s="16" t="str">
        <f aca="false">IF(OR(D628="",F628=""),"",IF(D628=F628,"Yes","No"))</f>
        <v/>
      </c>
      <c r="I628" s="15"/>
      <c r="J628" s="15"/>
      <c r="K628" s="15"/>
      <c r="L628" s="15"/>
    </row>
    <row r="629" customFormat="false" ht="15" hidden="false" customHeight="false" outlineLevel="0" collapsed="false">
      <c r="A629" s="15"/>
      <c r="B629" s="15"/>
      <c r="C629" s="15"/>
      <c r="D629" s="15"/>
      <c r="E629" s="15"/>
      <c r="F629" s="15"/>
      <c r="G629" s="15"/>
      <c r="H629" s="16" t="str">
        <f aca="false">IF(OR(D629="",F629=""),"",IF(D629=F629,"Yes","No"))</f>
        <v/>
      </c>
      <c r="I629" s="15"/>
      <c r="J629" s="15"/>
      <c r="K629" s="15"/>
      <c r="L629" s="15"/>
    </row>
    <row r="630" customFormat="false" ht="15" hidden="false" customHeight="false" outlineLevel="0" collapsed="false">
      <c r="A630" s="15"/>
      <c r="B630" s="15"/>
      <c r="C630" s="15"/>
      <c r="D630" s="15"/>
      <c r="E630" s="15"/>
      <c r="F630" s="15"/>
      <c r="G630" s="15"/>
      <c r="H630" s="16" t="str">
        <f aca="false">IF(OR(D630="",F630=""),"",IF(D630=F630,"Yes","No"))</f>
        <v/>
      </c>
      <c r="I630" s="15"/>
      <c r="J630" s="15"/>
      <c r="K630" s="15"/>
      <c r="L630" s="15"/>
    </row>
    <row r="631" customFormat="false" ht="15" hidden="false" customHeight="false" outlineLevel="0" collapsed="false">
      <c r="A631" s="15"/>
      <c r="B631" s="15"/>
      <c r="C631" s="15"/>
      <c r="D631" s="15"/>
      <c r="E631" s="15"/>
      <c r="F631" s="15"/>
      <c r="G631" s="15"/>
      <c r="H631" s="16" t="str">
        <f aca="false">IF(OR(D631="",F631=""),"",IF(D631=F631,"Yes","No"))</f>
        <v/>
      </c>
      <c r="I631" s="15"/>
      <c r="J631" s="15"/>
      <c r="K631" s="15"/>
      <c r="L631" s="15"/>
    </row>
    <row r="632" customFormat="false" ht="15" hidden="false" customHeight="false" outlineLevel="0" collapsed="false">
      <c r="A632" s="15"/>
      <c r="B632" s="15"/>
      <c r="C632" s="15"/>
      <c r="D632" s="15"/>
      <c r="E632" s="15"/>
      <c r="F632" s="15"/>
      <c r="G632" s="15"/>
      <c r="H632" s="16" t="str">
        <f aca="false">IF(OR(D632="",F632=""),"",IF(D632=F632,"Yes","No"))</f>
        <v/>
      </c>
      <c r="I632" s="15"/>
      <c r="J632" s="15"/>
      <c r="K632" s="15"/>
      <c r="L632" s="15"/>
    </row>
    <row r="633" customFormat="false" ht="15" hidden="false" customHeight="false" outlineLevel="0" collapsed="false">
      <c r="A633" s="15"/>
      <c r="B633" s="15"/>
      <c r="C633" s="15"/>
      <c r="D633" s="15"/>
      <c r="E633" s="15"/>
      <c r="F633" s="15"/>
      <c r="G633" s="15"/>
      <c r="H633" s="16" t="str">
        <f aca="false">IF(OR(D633="",F633=""),"",IF(D633=F633,"Yes","No"))</f>
        <v/>
      </c>
      <c r="I633" s="15"/>
      <c r="J633" s="15"/>
      <c r="K633" s="15"/>
      <c r="L633" s="15"/>
    </row>
    <row r="634" customFormat="false" ht="15" hidden="false" customHeight="false" outlineLevel="0" collapsed="false">
      <c r="A634" s="15"/>
      <c r="B634" s="15"/>
      <c r="C634" s="15"/>
      <c r="D634" s="15"/>
      <c r="E634" s="15"/>
      <c r="F634" s="15"/>
      <c r="G634" s="15"/>
      <c r="H634" s="16" t="str">
        <f aca="false">IF(OR(D634="",F634=""),"",IF(D634=F634,"Yes","No"))</f>
        <v/>
      </c>
      <c r="I634" s="15"/>
      <c r="J634" s="15"/>
      <c r="K634" s="15"/>
      <c r="L634" s="15"/>
    </row>
    <row r="635" customFormat="false" ht="15" hidden="false" customHeight="false" outlineLevel="0" collapsed="false">
      <c r="A635" s="15"/>
      <c r="B635" s="15"/>
      <c r="C635" s="15"/>
      <c r="D635" s="15"/>
      <c r="E635" s="15"/>
      <c r="F635" s="15"/>
      <c r="G635" s="15"/>
      <c r="H635" s="16" t="str">
        <f aca="false">IF(OR(D635="",F635=""),"",IF(D635=F635,"Yes","No"))</f>
        <v/>
      </c>
      <c r="I635" s="15"/>
      <c r="J635" s="15"/>
      <c r="K635" s="15"/>
      <c r="L635" s="15"/>
    </row>
    <row r="636" customFormat="false" ht="15" hidden="false" customHeight="false" outlineLevel="0" collapsed="false">
      <c r="A636" s="15"/>
      <c r="B636" s="15"/>
      <c r="C636" s="15"/>
      <c r="D636" s="15"/>
      <c r="E636" s="15"/>
      <c r="F636" s="15"/>
      <c r="G636" s="15"/>
      <c r="H636" s="16" t="str">
        <f aca="false">IF(OR(D636="",F636=""),"",IF(D636=F636,"Yes","No"))</f>
        <v/>
      </c>
      <c r="I636" s="15"/>
      <c r="J636" s="15"/>
      <c r="K636" s="15"/>
      <c r="L636" s="15"/>
    </row>
    <row r="637" customFormat="false" ht="15" hidden="false" customHeight="false" outlineLevel="0" collapsed="false">
      <c r="A637" s="15"/>
      <c r="B637" s="15"/>
      <c r="C637" s="15"/>
      <c r="D637" s="15"/>
      <c r="E637" s="15"/>
      <c r="F637" s="15"/>
      <c r="G637" s="15"/>
      <c r="H637" s="16" t="str">
        <f aca="false">IF(OR(D637="",F637=""),"",IF(D637=F637,"Yes","No"))</f>
        <v/>
      </c>
      <c r="I637" s="15"/>
      <c r="J637" s="15"/>
      <c r="K637" s="15"/>
      <c r="L637" s="15"/>
    </row>
    <row r="638" customFormat="false" ht="15" hidden="false" customHeight="false" outlineLevel="0" collapsed="false">
      <c r="A638" s="15"/>
      <c r="B638" s="15"/>
      <c r="C638" s="15"/>
      <c r="D638" s="15"/>
      <c r="E638" s="15"/>
      <c r="F638" s="15"/>
      <c r="G638" s="15"/>
      <c r="H638" s="16" t="str">
        <f aca="false">IF(OR(D638="",F638=""),"",IF(D638=F638,"Yes","No"))</f>
        <v/>
      </c>
      <c r="I638" s="15"/>
      <c r="J638" s="15"/>
      <c r="K638" s="15"/>
      <c r="L638" s="15"/>
    </row>
    <row r="639" customFormat="false" ht="15" hidden="false" customHeight="false" outlineLevel="0" collapsed="false">
      <c r="A639" s="15"/>
      <c r="B639" s="15"/>
      <c r="C639" s="15"/>
      <c r="D639" s="15"/>
      <c r="E639" s="15"/>
      <c r="F639" s="15"/>
      <c r="G639" s="15"/>
      <c r="H639" s="16" t="str">
        <f aca="false">IF(OR(D639="",F639=""),"",IF(D639=F639,"Yes","No"))</f>
        <v/>
      </c>
      <c r="I639" s="15"/>
      <c r="J639" s="15"/>
      <c r="K639" s="15"/>
      <c r="L639" s="15"/>
    </row>
    <row r="640" customFormat="false" ht="15" hidden="false" customHeight="false" outlineLevel="0" collapsed="false">
      <c r="A640" s="15"/>
      <c r="B640" s="15"/>
      <c r="C640" s="15"/>
      <c r="D640" s="15"/>
      <c r="E640" s="15"/>
      <c r="F640" s="15"/>
      <c r="G640" s="15"/>
      <c r="H640" s="16" t="str">
        <f aca="false">IF(OR(D640="",F640=""),"",IF(D640=F640,"Yes","No"))</f>
        <v/>
      </c>
      <c r="I640" s="15"/>
      <c r="J640" s="15"/>
      <c r="K640" s="15"/>
      <c r="L640" s="15"/>
    </row>
    <row r="641" customFormat="false" ht="15" hidden="false" customHeight="false" outlineLevel="0" collapsed="false">
      <c r="A641" s="15"/>
      <c r="B641" s="15"/>
      <c r="C641" s="15"/>
      <c r="D641" s="15"/>
      <c r="E641" s="15"/>
      <c r="F641" s="15"/>
      <c r="G641" s="15"/>
      <c r="H641" s="16" t="str">
        <f aca="false">IF(OR(D641="",F641=""),"",IF(D641=F641,"Yes","No"))</f>
        <v/>
      </c>
      <c r="I641" s="15"/>
      <c r="J641" s="15"/>
      <c r="K641" s="15"/>
      <c r="L641" s="15"/>
    </row>
    <row r="642" customFormat="false" ht="15" hidden="false" customHeight="false" outlineLevel="0" collapsed="false">
      <c r="A642" s="15"/>
      <c r="B642" s="15"/>
      <c r="C642" s="15"/>
      <c r="D642" s="15"/>
      <c r="E642" s="15"/>
      <c r="F642" s="15"/>
      <c r="G642" s="15"/>
      <c r="H642" s="16" t="str">
        <f aca="false">IF(OR(D642="",F642=""),"",IF(D642=F642,"Yes","No"))</f>
        <v/>
      </c>
      <c r="I642" s="15"/>
      <c r="J642" s="15"/>
      <c r="K642" s="15"/>
      <c r="L642" s="15"/>
    </row>
    <row r="643" customFormat="false" ht="15" hidden="false" customHeight="false" outlineLevel="0" collapsed="false">
      <c r="A643" s="15"/>
      <c r="B643" s="15"/>
      <c r="C643" s="15"/>
      <c r="D643" s="15"/>
      <c r="E643" s="15"/>
      <c r="F643" s="15"/>
      <c r="G643" s="15"/>
      <c r="H643" s="16" t="str">
        <f aca="false">IF(OR(D643="",F643=""),"",IF(D643=F643,"Yes","No"))</f>
        <v/>
      </c>
      <c r="I643" s="15"/>
      <c r="J643" s="15"/>
      <c r="K643" s="15"/>
      <c r="L643" s="15"/>
    </row>
    <row r="644" customFormat="false" ht="15" hidden="false" customHeight="false" outlineLevel="0" collapsed="false">
      <c r="A644" s="15"/>
      <c r="B644" s="15"/>
      <c r="C644" s="15"/>
      <c r="D644" s="15"/>
      <c r="E644" s="15"/>
      <c r="F644" s="15"/>
      <c r="G644" s="15"/>
      <c r="H644" s="16" t="str">
        <f aca="false">IF(OR(D644="",F644=""),"",IF(D644=F644,"Yes","No"))</f>
        <v/>
      </c>
      <c r="I644" s="15"/>
      <c r="J644" s="15"/>
      <c r="K644" s="15"/>
      <c r="L644" s="15"/>
    </row>
    <row r="645" customFormat="false" ht="15" hidden="false" customHeight="false" outlineLevel="0" collapsed="false">
      <c r="A645" s="15"/>
      <c r="B645" s="15"/>
      <c r="C645" s="15"/>
      <c r="D645" s="15"/>
      <c r="E645" s="15"/>
      <c r="F645" s="15"/>
      <c r="G645" s="15"/>
      <c r="H645" s="16" t="str">
        <f aca="false">IF(OR(D645="",F645=""),"",IF(D645=F645,"Yes","No"))</f>
        <v/>
      </c>
      <c r="I645" s="15"/>
      <c r="J645" s="15"/>
      <c r="K645" s="15"/>
      <c r="L645" s="15"/>
    </row>
    <row r="646" customFormat="false" ht="15" hidden="false" customHeight="false" outlineLevel="0" collapsed="false">
      <c r="A646" s="15"/>
      <c r="B646" s="15"/>
      <c r="C646" s="15"/>
      <c r="D646" s="15"/>
      <c r="E646" s="15"/>
      <c r="F646" s="15"/>
      <c r="G646" s="15"/>
      <c r="H646" s="16" t="str">
        <f aca="false">IF(OR(D646="",F646=""),"",IF(D646=F646,"Yes","No"))</f>
        <v/>
      </c>
      <c r="I646" s="15"/>
      <c r="J646" s="15"/>
      <c r="K646" s="15"/>
      <c r="L646" s="15"/>
    </row>
    <row r="647" customFormat="false" ht="15" hidden="false" customHeight="false" outlineLevel="0" collapsed="false">
      <c r="A647" s="15"/>
      <c r="B647" s="15"/>
      <c r="C647" s="15"/>
      <c r="D647" s="15"/>
      <c r="E647" s="15"/>
      <c r="F647" s="15"/>
      <c r="G647" s="15"/>
      <c r="H647" s="16" t="str">
        <f aca="false">IF(OR(D647="",F647=""),"",IF(D647=F647,"Yes","No"))</f>
        <v/>
      </c>
      <c r="I647" s="15"/>
      <c r="J647" s="15"/>
      <c r="K647" s="15"/>
      <c r="L647" s="15"/>
    </row>
    <row r="648" customFormat="false" ht="15" hidden="false" customHeight="false" outlineLevel="0" collapsed="false">
      <c r="A648" s="15"/>
      <c r="B648" s="15"/>
      <c r="C648" s="15"/>
      <c r="D648" s="15"/>
      <c r="E648" s="15"/>
      <c r="F648" s="15"/>
      <c r="G648" s="15"/>
      <c r="H648" s="16" t="str">
        <f aca="false">IF(OR(D648="",F648=""),"",IF(D648=F648,"Yes","No"))</f>
        <v/>
      </c>
      <c r="I648" s="15"/>
      <c r="J648" s="15"/>
      <c r="K648" s="15"/>
      <c r="L648" s="15"/>
    </row>
    <row r="649" customFormat="false" ht="15" hidden="false" customHeight="false" outlineLevel="0" collapsed="false">
      <c r="A649" s="15"/>
      <c r="B649" s="15"/>
      <c r="C649" s="15"/>
      <c r="D649" s="15"/>
      <c r="E649" s="15"/>
      <c r="F649" s="15"/>
      <c r="G649" s="15"/>
      <c r="H649" s="16" t="str">
        <f aca="false">IF(OR(D649="",F649=""),"",IF(D649=F649,"Yes","No"))</f>
        <v/>
      </c>
      <c r="I649" s="15"/>
      <c r="J649" s="15"/>
      <c r="K649" s="15"/>
      <c r="L649" s="15"/>
    </row>
    <row r="650" customFormat="false" ht="15" hidden="false" customHeight="false" outlineLevel="0" collapsed="false">
      <c r="A650" s="15"/>
      <c r="B650" s="15"/>
      <c r="C650" s="15"/>
      <c r="D650" s="15"/>
      <c r="E650" s="15"/>
      <c r="F650" s="15"/>
      <c r="G650" s="15"/>
      <c r="H650" s="16" t="str">
        <f aca="false">IF(OR(D650="",F650=""),"",IF(D650=F650,"Yes","No"))</f>
        <v/>
      </c>
      <c r="I650" s="15"/>
      <c r="J650" s="15"/>
      <c r="K650" s="15"/>
      <c r="L650" s="15"/>
    </row>
    <row r="651" customFormat="false" ht="15" hidden="false" customHeight="false" outlineLevel="0" collapsed="false">
      <c r="A651" s="15"/>
      <c r="B651" s="15"/>
      <c r="C651" s="15"/>
      <c r="D651" s="15"/>
      <c r="E651" s="15"/>
      <c r="F651" s="15"/>
      <c r="G651" s="15"/>
      <c r="H651" s="16" t="str">
        <f aca="false">IF(OR(D651="",F651=""),"",IF(D651=F651,"Yes","No"))</f>
        <v/>
      </c>
      <c r="I651" s="15"/>
      <c r="J651" s="15"/>
      <c r="K651" s="15"/>
      <c r="L651" s="15"/>
    </row>
    <row r="652" customFormat="false" ht="15" hidden="false" customHeight="false" outlineLevel="0" collapsed="false">
      <c r="A652" s="15"/>
      <c r="B652" s="15"/>
      <c r="C652" s="15"/>
      <c r="D652" s="15"/>
      <c r="E652" s="15"/>
      <c r="F652" s="15"/>
      <c r="G652" s="15"/>
      <c r="H652" s="16" t="str">
        <f aca="false">IF(OR(D652="",F652=""),"",IF(D652=F652,"Yes","No"))</f>
        <v/>
      </c>
      <c r="I652" s="15"/>
      <c r="J652" s="15"/>
      <c r="K652" s="15"/>
      <c r="L652" s="15"/>
    </row>
    <row r="653" customFormat="false" ht="15" hidden="false" customHeight="false" outlineLevel="0" collapsed="false">
      <c r="A653" s="15"/>
      <c r="B653" s="15"/>
      <c r="C653" s="15"/>
      <c r="D653" s="15"/>
      <c r="E653" s="15"/>
      <c r="F653" s="15"/>
      <c r="G653" s="15"/>
      <c r="H653" s="16" t="str">
        <f aca="false">IF(OR(D653="",F653=""),"",IF(D653=F653,"Yes","No"))</f>
        <v/>
      </c>
      <c r="I653" s="15"/>
      <c r="J653" s="15"/>
      <c r="K653" s="15"/>
      <c r="L653" s="15"/>
    </row>
    <row r="654" customFormat="false" ht="15" hidden="false" customHeight="false" outlineLevel="0" collapsed="false">
      <c r="A654" s="15"/>
      <c r="B654" s="15"/>
      <c r="C654" s="15"/>
      <c r="D654" s="15"/>
      <c r="E654" s="15"/>
      <c r="F654" s="15"/>
      <c r="G654" s="15"/>
      <c r="H654" s="16" t="str">
        <f aca="false">IF(OR(D654="",F654=""),"",IF(D654=F654,"Yes","No"))</f>
        <v/>
      </c>
      <c r="I654" s="15"/>
      <c r="J654" s="15"/>
      <c r="K654" s="15"/>
      <c r="L654" s="15"/>
    </row>
    <row r="655" customFormat="false" ht="15" hidden="false" customHeight="false" outlineLevel="0" collapsed="false">
      <c r="A655" s="15"/>
      <c r="B655" s="15"/>
      <c r="C655" s="15"/>
      <c r="D655" s="15"/>
      <c r="E655" s="15"/>
      <c r="F655" s="15"/>
      <c r="G655" s="15"/>
      <c r="H655" s="16" t="str">
        <f aca="false">IF(OR(D655="",F655=""),"",IF(D655=F655,"Yes","No"))</f>
        <v/>
      </c>
      <c r="I655" s="15"/>
      <c r="J655" s="15"/>
      <c r="K655" s="15"/>
      <c r="L655" s="15"/>
    </row>
    <row r="656" customFormat="false" ht="15" hidden="false" customHeight="false" outlineLevel="0" collapsed="false">
      <c r="A656" s="15"/>
      <c r="B656" s="15"/>
      <c r="C656" s="15"/>
      <c r="D656" s="15"/>
      <c r="E656" s="15"/>
      <c r="F656" s="15"/>
      <c r="G656" s="15"/>
      <c r="H656" s="16" t="str">
        <f aca="false">IF(OR(D656="",F656=""),"",IF(D656=F656,"Yes","No"))</f>
        <v/>
      </c>
      <c r="I656" s="15"/>
      <c r="J656" s="15"/>
      <c r="K656" s="15"/>
      <c r="L656" s="15"/>
    </row>
    <row r="657" customFormat="false" ht="15" hidden="false" customHeight="false" outlineLevel="0" collapsed="false">
      <c r="A657" s="15"/>
      <c r="B657" s="15"/>
      <c r="C657" s="15"/>
      <c r="D657" s="15"/>
      <c r="E657" s="15"/>
      <c r="F657" s="15"/>
      <c r="G657" s="15"/>
      <c r="H657" s="16" t="str">
        <f aca="false">IF(OR(D657="",F657=""),"",IF(D657=F657,"Yes","No"))</f>
        <v/>
      </c>
      <c r="I657" s="15"/>
      <c r="J657" s="15"/>
      <c r="K657" s="15"/>
      <c r="L657" s="15"/>
    </row>
    <row r="658" customFormat="false" ht="15" hidden="false" customHeight="false" outlineLevel="0" collapsed="false">
      <c r="A658" s="15"/>
      <c r="B658" s="15"/>
      <c r="C658" s="15"/>
      <c r="D658" s="15"/>
      <c r="E658" s="15"/>
      <c r="F658" s="15"/>
      <c r="G658" s="15"/>
      <c r="H658" s="16" t="str">
        <f aca="false">IF(OR(D658="",F658=""),"",IF(D658=F658,"Yes","No"))</f>
        <v/>
      </c>
      <c r="I658" s="15"/>
      <c r="J658" s="15"/>
      <c r="K658" s="15"/>
      <c r="L658" s="15"/>
    </row>
    <row r="659" customFormat="false" ht="15" hidden="false" customHeight="false" outlineLevel="0" collapsed="false">
      <c r="A659" s="15"/>
      <c r="B659" s="15"/>
      <c r="C659" s="15"/>
      <c r="D659" s="15"/>
      <c r="E659" s="15"/>
      <c r="F659" s="15"/>
      <c r="G659" s="15"/>
      <c r="H659" s="16" t="str">
        <f aca="false">IF(OR(D659="",F659=""),"",IF(D659=F659,"Yes","No"))</f>
        <v/>
      </c>
      <c r="I659" s="15"/>
      <c r="J659" s="15"/>
      <c r="K659" s="15"/>
      <c r="L659" s="15"/>
    </row>
    <row r="660" customFormat="false" ht="15" hidden="false" customHeight="false" outlineLevel="0" collapsed="false">
      <c r="A660" s="15"/>
      <c r="B660" s="15"/>
      <c r="C660" s="15"/>
      <c r="D660" s="15"/>
      <c r="E660" s="15"/>
      <c r="F660" s="15"/>
      <c r="G660" s="15"/>
      <c r="H660" s="16" t="str">
        <f aca="false">IF(OR(D660="",F660=""),"",IF(D660=F660,"Yes","No"))</f>
        <v/>
      </c>
      <c r="I660" s="15"/>
      <c r="J660" s="15"/>
      <c r="K660" s="15"/>
      <c r="L660" s="15"/>
    </row>
    <row r="661" customFormat="false" ht="15" hidden="false" customHeight="false" outlineLevel="0" collapsed="false">
      <c r="A661" s="15"/>
      <c r="B661" s="15"/>
      <c r="C661" s="15"/>
      <c r="D661" s="15"/>
      <c r="E661" s="15"/>
      <c r="F661" s="15"/>
      <c r="G661" s="15"/>
      <c r="H661" s="16" t="str">
        <f aca="false">IF(OR(D661="",F661=""),"",IF(D661=F661,"Yes","No"))</f>
        <v/>
      </c>
      <c r="I661" s="15"/>
      <c r="J661" s="15"/>
      <c r="K661" s="15"/>
      <c r="L661" s="15"/>
    </row>
    <row r="662" customFormat="false" ht="15" hidden="false" customHeight="false" outlineLevel="0" collapsed="false">
      <c r="A662" s="15"/>
      <c r="B662" s="15"/>
      <c r="C662" s="15"/>
      <c r="D662" s="15"/>
      <c r="E662" s="15"/>
      <c r="F662" s="15"/>
      <c r="G662" s="15"/>
      <c r="H662" s="16" t="str">
        <f aca="false">IF(OR(D662="",F662=""),"",IF(D662=F662,"Yes","No"))</f>
        <v/>
      </c>
      <c r="I662" s="15"/>
      <c r="J662" s="15"/>
      <c r="K662" s="15"/>
      <c r="L662" s="15"/>
    </row>
    <row r="663" customFormat="false" ht="15" hidden="false" customHeight="false" outlineLevel="0" collapsed="false">
      <c r="A663" s="15"/>
      <c r="B663" s="15"/>
      <c r="C663" s="15"/>
      <c r="D663" s="15"/>
      <c r="E663" s="15"/>
      <c r="F663" s="15"/>
      <c r="G663" s="15"/>
      <c r="H663" s="16" t="str">
        <f aca="false">IF(OR(D663="",F663=""),"",IF(D663=F663,"Yes","No"))</f>
        <v/>
      </c>
      <c r="I663" s="15"/>
      <c r="J663" s="15"/>
      <c r="K663" s="15"/>
      <c r="L663" s="15"/>
    </row>
    <row r="664" customFormat="false" ht="15" hidden="false" customHeight="false" outlineLevel="0" collapsed="false">
      <c r="A664" s="15"/>
      <c r="B664" s="15"/>
      <c r="C664" s="15"/>
      <c r="D664" s="15"/>
      <c r="E664" s="15"/>
      <c r="F664" s="15"/>
      <c r="G664" s="15"/>
      <c r="H664" s="16" t="str">
        <f aca="false">IF(OR(D664="",F664=""),"",IF(D664=F664,"Yes","No"))</f>
        <v/>
      </c>
      <c r="I664" s="15"/>
      <c r="J664" s="15"/>
      <c r="K664" s="15"/>
      <c r="L664" s="15"/>
    </row>
    <row r="665" customFormat="false" ht="15" hidden="false" customHeight="false" outlineLevel="0" collapsed="false">
      <c r="A665" s="15"/>
      <c r="B665" s="15"/>
      <c r="C665" s="15"/>
      <c r="D665" s="15"/>
      <c r="E665" s="15"/>
      <c r="F665" s="15"/>
      <c r="G665" s="15"/>
      <c r="H665" s="16" t="str">
        <f aca="false">IF(OR(D665="",F665=""),"",IF(D665=F665,"Yes","No"))</f>
        <v/>
      </c>
      <c r="I665" s="15"/>
      <c r="J665" s="15"/>
      <c r="K665" s="15"/>
      <c r="L665" s="15"/>
    </row>
    <row r="666" customFormat="false" ht="15" hidden="false" customHeight="false" outlineLevel="0" collapsed="false">
      <c r="A666" s="15"/>
      <c r="B666" s="15"/>
      <c r="C666" s="15"/>
      <c r="D666" s="15"/>
      <c r="E666" s="15"/>
      <c r="F666" s="15"/>
      <c r="G666" s="15"/>
      <c r="H666" s="16" t="str">
        <f aca="false">IF(OR(D666="",F666=""),"",IF(D666=F666,"Yes","No"))</f>
        <v/>
      </c>
      <c r="I666" s="15"/>
      <c r="J666" s="15"/>
      <c r="K666" s="15"/>
      <c r="L666" s="15"/>
    </row>
    <row r="667" customFormat="false" ht="15" hidden="false" customHeight="false" outlineLevel="0" collapsed="false">
      <c r="A667" s="15"/>
      <c r="B667" s="15"/>
      <c r="C667" s="15"/>
      <c r="D667" s="15"/>
      <c r="E667" s="15"/>
      <c r="F667" s="15"/>
      <c r="G667" s="15"/>
      <c r="H667" s="16" t="str">
        <f aca="false">IF(OR(D667="",F667=""),"",IF(D667=F667,"Yes","No"))</f>
        <v/>
      </c>
      <c r="I667" s="15"/>
      <c r="J667" s="15"/>
      <c r="K667" s="15"/>
      <c r="L667" s="15"/>
    </row>
    <row r="668" customFormat="false" ht="15" hidden="false" customHeight="false" outlineLevel="0" collapsed="false">
      <c r="A668" s="15"/>
      <c r="B668" s="15"/>
      <c r="C668" s="15"/>
      <c r="D668" s="15"/>
      <c r="E668" s="15"/>
      <c r="F668" s="15"/>
      <c r="G668" s="15"/>
      <c r="H668" s="16" t="str">
        <f aca="false">IF(OR(D668="",F668=""),"",IF(D668=F668,"Yes","No"))</f>
        <v/>
      </c>
      <c r="I668" s="15"/>
      <c r="J668" s="15"/>
      <c r="K668" s="15"/>
      <c r="L668" s="15"/>
    </row>
    <row r="669" customFormat="false" ht="15" hidden="false" customHeight="false" outlineLevel="0" collapsed="false">
      <c r="A669" s="15"/>
      <c r="B669" s="15"/>
      <c r="C669" s="15"/>
      <c r="D669" s="15"/>
      <c r="E669" s="15"/>
      <c r="F669" s="15"/>
      <c r="G669" s="15"/>
      <c r="H669" s="16" t="str">
        <f aca="false">IF(OR(D669="",F669=""),"",IF(D669=F669,"Yes","No"))</f>
        <v/>
      </c>
      <c r="I669" s="15"/>
      <c r="J669" s="15"/>
      <c r="K669" s="15"/>
      <c r="L669" s="15"/>
    </row>
    <row r="670" customFormat="false" ht="15" hidden="false" customHeight="false" outlineLevel="0" collapsed="false">
      <c r="A670" s="15"/>
      <c r="B670" s="15"/>
      <c r="C670" s="15"/>
      <c r="D670" s="15"/>
      <c r="E670" s="15"/>
      <c r="F670" s="15"/>
      <c r="G670" s="15"/>
      <c r="H670" s="16" t="str">
        <f aca="false">IF(OR(D670="",F670=""),"",IF(D670=F670,"Yes","No"))</f>
        <v/>
      </c>
      <c r="I670" s="15"/>
      <c r="J670" s="15"/>
      <c r="K670" s="15"/>
      <c r="L670" s="15"/>
    </row>
    <row r="671" customFormat="false" ht="15" hidden="false" customHeight="false" outlineLevel="0" collapsed="false">
      <c r="A671" s="15"/>
      <c r="B671" s="15"/>
      <c r="C671" s="15"/>
      <c r="D671" s="15"/>
      <c r="E671" s="15"/>
      <c r="F671" s="15"/>
      <c r="G671" s="15"/>
      <c r="H671" s="16" t="str">
        <f aca="false">IF(OR(D671="",F671=""),"",IF(D671=F671,"Yes","No"))</f>
        <v/>
      </c>
      <c r="I671" s="15"/>
      <c r="J671" s="15"/>
      <c r="K671" s="15"/>
      <c r="L671" s="15"/>
    </row>
    <row r="672" customFormat="false" ht="15" hidden="false" customHeight="false" outlineLevel="0" collapsed="false">
      <c r="A672" s="15"/>
      <c r="B672" s="15"/>
      <c r="C672" s="15"/>
      <c r="D672" s="15"/>
      <c r="E672" s="15"/>
      <c r="F672" s="15"/>
      <c r="G672" s="15"/>
      <c r="H672" s="16" t="str">
        <f aca="false">IF(OR(D672="",F672=""),"",IF(D672=F672,"Yes","No"))</f>
        <v/>
      </c>
      <c r="I672" s="15"/>
      <c r="J672" s="15"/>
      <c r="K672" s="15"/>
      <c r="L672" s="15"/>
    </row>
    <row r="673" customFormat="false" ht="15" hidden="false" customHeight="false" outlineLevel="0" collapsed="false">
      <c r="A673" s="15"/>
      <c r="B673" s="15"/>
      <c r="C673" s="15"/>
      <c r="D673" s="15"/>
      <c r="E673" s="15"/>
      <c r="F673" s="15"/>
      <c r="G673" s="15"/>
      <c r="H673" s="16" t="str">
        <f aca="false">IF(OR(D673="",F673=""),"",IF(D673=F673,"Yes","No"))</f>
        <v/>
      </c>
      <c r="I673" s="15"/>
      <c r="J673" s="15"/>
      <c r="K673" s="15"/>
      <c r="L673" s="15"/>
    </row>
    <row r="674" customFormat="false" ht="15" hidden="false" customHeight="false" outlineLevel="0" collapsed="false">
      <c r="A674" s="15"/>
      <c r="B674" s="15"/>
      <c r="C674" s="15"/>
      <c r="D674" s="15"/>
      <c r="E674" s="15"/>
      <c r="F674" s="15"/>
      <c r="G674" s="15"/>
      <c r="H674" s="16" t="str">
        <f aca="false">IF(OR(D674="",F674=""),"",IF(D674=F674,"Yes","No"))</f>
        <v/>
      </c>
      <c r="I674" s="15"/>
      <c r="J674" s="15"/>
      <c r="K674" s="15"/>
      <c r="L674" s="15"/>
    </row>
    <row r="675" customFormat="false" ht="15" hidden="false" customHeight="false" outlineLevel="0" collapsed="false">
      <c r="A675" s="15"/>
      <c r="B675" s="15"/>
      <c r="C675" s="15"/>
      <c r="D675" s="15"/>
      <c r="E675" s="15"/>
      <c r="F675" s="15"/>
      <c r="G675" s="15"/>
      <c r="H675" s="16" t="str">
        <f aca="false">IF(OR(D675="",F675=""),"",IF(D675=F675,"Yes","No"))</f>
        <v/>
      </c>
      <c r="I675" s="15"/>
      <c r="J675" s="15"/>
      <c r="K675" s="15"/>
      <c r="L675" s="15"/>
    </row>
    <row r="676" customFormat="false" ht="15" hidden="false" customHeight="false" outlineLevel="0" collapsed="false">
      <c r="A676" s="15"/>
      <c r="B676" s="15"/>
      <c r="C676" s="15"/>
      <c r="D676" s="15"/>
      <c r="E676" s="15"/>
      <c r="F676" s="15"/>
      <c r="G676" s="15"/>
      <c r="H676" s="16" t="str">
        <f aca="false">IF(OR(D676="",F676=""),"",IF(D676=F676,"Yes","No"))</f>
        <v/>
      </c>
      <c r="I676" s="15"/>
      <c r="J676" s="15"/>
      <c r="K676" s="15"/>
      <c r="L676" s="15"/>
    </row>
    <row r="677" customFormat="false" ht="15" hidden="false" customHeight="false" outlineLevel="0" collapsed="false">
      <c r="A677" s="15"/>
      <c r="B677" s="15"/>
      <c r="C677" s="15"/>
      <c r="D677" s="15"/>
      <c r="E677" s="15"/>
      <c r="F677" s="15"/>
      <c r="G677" s="15"/>
      <c r="H677" s="16" t="str">
        <f aca="false">IF(OR(D677="",F677=""),"",IF(D677=F677,"Yes","No"))</f>
        <v/>
      </c>
      <c r="I677" s="15"/>
      <c r="J677" s="15"/>
      <c r="K677" s="15"/>
      <c r="L677" s="15"/>
    </row>
    <row r="678" customFormat="false" ht="15" hidden="false" customHeight="false" outlineLevel="0" collapsed="false">
      <c r="A678" s="15"/>
      <c r="B678" s="15"/>
      <c r="C678" s="15"/>
      <c r="D678" s="15"/>
      <c r="E678" s="15"/>
      <c r="F678" s="15"/>
      <c r="G678" s="15"/>
      <c r="H678" s="16" t="str">
        <f aca="false">IF(OR(D678="",F678=""),"",IF(D678=F678,"Yes","No"))</f>
        <v/>
      </c>
      <c r="I678" s="15"/>
      <c r="J678" s="15"/>
      <c r="K678" s="15"/>
      <c r="L678" s="15"/>
    </row>
    <row r="679" customFormat="false" ht="15" hidden="false" customHeight="false" outlineLevel="0" collapsed="false">
      <c r="A679" s="15"/>
      <c r="B679" s="15"/>
      <c r="C679" s="15"/>
      <c r="D679" s="15"/>
      <c r="E679" s="15"/>
      <c r="F679" s="15"/>
      <c r="G679" s="15"/>
      <c r="H679" s="16" t="str">
        <f aca="false">IF(OR(D679="",F679=""),"",IF(D679=F679,"Yes","No"))</f>
        <v/>
      </c>
      <c r="I679" s="15"/>
      <c r="J679" s="15"/>
      <c r="K679" s="15"/>
      <c r="L679" s="15"/>
    </row>
    <row r="680" customFormat="false" ht="15" hidden="false" customHeight="false" outlineLevel="0" collapsed="false">
      <c r="A680" s="15"/>
      <c r="B680" s="15"/>
      <c r="C680" s="15"/>
      <c r="D680" s="15"/>
      <c r="E680" s="15"/>
      <c r="F680" s="15"/>
      <c r="G680" s="15"/>
      <c r="H680" s="16" t="str">
        <f aca="false">IF(OR(D680="",F680=""),"",IF(D680=F680,"Yes","No"))</f>
        <v/>
      </c>
      <c r="I680" s="15"/>
      <c r="J680" s="15"/>
      <c r="K680" s="15"/>
      <c r="L680" s="15"/>
    </row>
    <row r="681" customFormat="false" ht="15" hidden="false" customHeight="false" outlineLevel="0" collapsed="false">
      <c r="A681" s="15"/>
      <c r="B681" s="15"/>
      <c r="C681" s="15"/>
      <c r="D681" s="15"/>
      <c r="E681" s="15"/>
      <c r="F681" s="15"/>
      <c r="G681" s="15"/>
      <c r="H681" s="16" t="str">
        <f aca="false">IF(OR(D681="",F681=""),"",IF(D681=F681,"Yes","No"))</f>
        <v/>
      </c>
      <c r="I681" s="15"/>
      <c r="J681" s="15"/>
      <c r="K681" s="15"/>
      <c r="L681" s="15"/>
    </row>
    <row r="682" customFormat="false" ht="15" hidden="false" customHeight="false" outlineLevel="0" collapsed="false">
      <c r="A682" s="15"/>
      <c r="B682" s="15"/>
      <c r="C682" s="15"/>
      <c r="D682" s="15"/>
      <c r="E682" s="15"/>
      <c r="F682" s="15"/>
      <c r="G682" s="15"/>
      <c r="H682" s="16" t="str">
        <f aca="false">IF(OR(D682="",F682=""),"",IF(D682=F682,"Yes","No"))</f>
        <v/>
      </c>
      <c r="I682" s="15"/>
      <c r="J682" s="15"/>
      <c r="K682" s="15"/>
      <c r="L682" s="15"/>
    </row>
    <row r="683" customFormat="false" ht="15" hidden="false" customHeight="false" outlineLevel="0" collapsed="false">
      <c r="A683" s="15"/>
      <c r="B683" s="15"/>
      <c r="C683" s="15"/>
      <c r="D683" s="15"/>
      <c r="E683" s="15"/>
      <c r="F683" s="15"/>
      <c r="G683" s="15"/>
      <c r="H683" s="16" t="str">
        <f aca="false">IF(OR(D683="",F683=""),"",IF(D683=F683,"Yes","No"))</f>
        <v/>
      </c>
      <c r="I683" s="15"/>
      <c r="J683" s="15"/>
      <c r="K683" s="15"/>
      <c r="L683" s="15"/>
    </row>
    <row r="684" customFormat="false" ht="15" hidden="false" customHeight="false" outlineLevel="0" collapsed="false">
      <c r="A684" s="15"/>
      <c r="B684" s="15"/>
      <c r="C684" s="15"/>
      <c r="D684" s="15"/>
      <c r="E684" s="15"/>
      <c r="F684" s="15"/>
      <c r="G684" s="15"/>
      <c r="H684" s="16" t="str">
        <f aca="false">IF(OR(D684="",F684=""),"",IF(D684=F684,"Yes","No"))</f>
        <v/>
      </c>
      <c r="I684" s="15"/>
      <c r="J684" s="15"/>
      <c r="K684" s="15"/>
      <c r="L684" s="15"/>
    </row>
    <row r="685" customFormat="false" ht="15" hidden="false" customHeight="false" outlineLevel="0" collapsed="false">
      <c r="A685" s="15"/>
      <c r="B685" s="15"/>
      <c r="C685" s="15"/>
      <c r="D685" s="15"/>
      <c r="E685" s="15"/>
      <c r="F685" s="15"/>
      <c r="G685" s="15"/>
      <c r="H685" s="16" t="str">
        <f aca="false">IF(OR(D685="",F685=""),"",IF(D685=F685,"Yes","No"))</f>
        <v/>
      </c>
      <c r="I685" s="15"/>
      <c r="J685" s="15"/>
      <c r="K685" s="15"/>
      <c r="L685" s="15"/>
    </row>
    <row r="686" customFormat="false" ht="15" hidden="false" customHeight="false" outlineLevel="0" collapsed="false">
      <c r="A686" s="15"/>
      <c r="B686" s="15"/>
      <c r="C686" s="15"/>
      <c r="D686" s="15"/>
      <c r="E686" s="15"/>
      <c r="F686" s="15"/>
      <c r="G686" s="15"/>
      <c r="H686" s="16" t="str">
        <f aca="false">IF(OR(D686="",F686=""),"",IF(D686=F686,"Yes","No"))</f>
        <v/>
      </c>
      <c r="I686" s="15"/>
      <c r="J686" s="15"/>
      <c r="K686" s="15"/>
      <c r="L686" s="15"/>
    </row>
    <row r="687" customFormat="false" ht="15" hidden="false" customHeight="false" outlineLevel="0" collapsed="false">
      <c r="A687" s="15"/>
      <c r="B687" s="15"/>
      <c r="C687" s="15"/>
      <c r="D687" s="15"/>
      <c r="E687" s="15"/>
      <c r="F687" s="15"/>
      <c r="G687" s="15"/>
      <c r="H687" s="16" t="str">
        <f aca="false">IF(OR(D687="",F687=""),"",IF(D687=F687,"Yes","No"))</f>
        <v/>
      </c>
      <c r="I687" s="15"/>
      <c r="J687" s="15"/>
      <c r="K687" s="15"/>
      <c r="L687" s="15"/>
    </row>
    <row r="688" customFormat="false" ht="15" hidden="false" customHeight="false" outlineLevel="0" collapsed="false">
      <c r="A688" s="15"/>
      <c r="B688" s="15"/>
      <c r="C688" s="15"/>
      <c r="D688" s="15"/>
      <c r="E688" s="15"/>
      <c r="F688" s="15"/>
      <c r="G688" s="15"/>
      <c r="H688" s="16" t="str">
        <f aca="false">IF(OR(D688="",F688=""),"",IF(D688=F688,"Yes","No"))</f>
        <v/>
      </c>
      <c r="I688" s="15"/>
      <c r="J688" s="15"/>
      <c r="K688" s="15"/>
      <c r="L688" s="15"/>
    </row>
    <row r="689" customFormat="false" ht="15" hidden="false" customHeight="false" outlineLevel="0" collapsed="false">
      <c r="A689" s="15"/>
      <c r="B689" s="15"/>
      <c r="C689" s="15"/>
      <c r="D689" s="15"/>
      <c r="E689" s="15"/>
      <c r="F689" s="15"/>
      <c r="G689" s="15"/>
      <c r="H689" s="16" t="str">
        <f aca="false">IF(OR(D689="",F689=""),"",IF(D689=F689,"Yes","No"))</f>
        <v/>
      </c>
      <c r="I689" s="15"/>
      <c r="J689" s="15"/>
      <c r="K689" s="15"/>
      <c r="L689" s="15"/>
    </row>
    <row r="690" customFormat="false" ht="15" hidden="false" customHeight="false" outlineLevel="0" collapsed="false">
      <c r="A690" s="15"/>
      <c r="B690" s="15"/>
      <c r="C690" s="15"/>
      <c r="D690" s="15"/>
      <c r="E690" s="15"/>
      <c r="F690" s="15"/>
      <c r="G690" s="15"/>
      <c r="H690" s="16" t="str">
        <f aca="false">IF(OR(D690="",F690=""),"",IF(D690=F690,"Yes","No"))</f>
        <v/>
      </c>
      <c r="I690" s="15"/>
      <c r="J690" s="15"/>
      <c r="K690" s="15"/>
      <c r="L690" s="15"/>
    </row>
    <row r="691" customFormat="false" ht="15" hidden="false" customHeight="false" outlineLevel="0" collapsed="false">
      <c r="A691" s="15"/>
      <c r="B691" s="15"/>
      <c r="C691" s="15"/>
      <c r="D691" s="15"/>
      <c r="E691" s="15"/>
      <c r="F691" s="15"/>
      <c r="G691" s="15"/>
      <c r="H691" s="16" t="str">
        <f aca="false">IF(OR(D691="",F691=""),"",IF(D691=F691,"Yes","No"))</f>
        <v/>
      </c>
      <c r="I691" s="15"/>
      <c r="J691" s="15"/>
      <c r="K691" s="15"/>
      <c r="L691" s="15"/>
    </row>
    <row r="692" customFormat="false" ht="15" hidden="false" customHeight="false" outlineLevel="0" collapsed="false">
      <c r="A692" s="15"/>
      <c r="B692" s="15"/>
      <c r="C692" s="15"/>
      <c r="D692" s="15"/>
      <c r="E692" s="15"/>
      <c r="F692" s="15"/>
      <c r="G692" s="15"/>
      <c r="H692" s="16" t="str">
        <f aca="false">IF(OR(D692="",F692=""),"",IF(D692=F692,"Yes","No"))</f>
        <v/>
      </c>
      <c r="I692" s="15"/>
      <c r="J692" s="15"/>
      <c r="K692" s="15"/>
      <c r="L692" s="15"/>
    </row>
    <row r="693" customFormat="false" ht="15" hidden="false" customHeight="false" outlineLevel="0" collapsed="false">
      <c r="A693" s="15"/>
      <c r="B693" s="15"/>
      <c r="C693" s="15"/>
      <c r="D693" s="15"/>
      <c r="E693" s="15"/>
      <c r="F693" s="15"/>
      <c r="G693" s="15"/>
      <c r="H693" s="16" t="str">
        <f aca="false">IF(OR(D693="",F693=""),"",IF(D693=F693,"Yes","No"))</f>
        <v/>
      </c>
      <c r="I693" s="15"/>
      <c r="J693" s="15"/>
      <c r="K693" s="15"/>
      <c r="L693" s="15"/>
    </row>
    <row r="694" customFormat="false" ht="15" hidden="false" customHeight="false" outlineLevel="0" collapsed="false">
      <c r="A694" s="15"/>
      <c r="B694" s="15"/>
      <c r="C694" s="15"/>
      <c r="D694" s="15"/>
      <c r="E694" s="15"/>
      <c r="F694" s="15"/>
      <c r="G694" s="15"/>
      <c r="H694" s="16" t="str">
        <f aca="false">IF(OR(D694="",F694=""),"",IF(D694=F694,"Yes","No"))</f>
        <v/>
      </c>
      <c r="I694" s="15"/>
      <c r="J694" s="15"/>
      <c r="K694" s="15"/>
      <c r="L694" s="15"/>
    </row>
    <row r="695" customFormat="false" ht="15" hidden="false" customHeight="false" outlineLevel="0" collapsed="false">
      <c r="A695" s="15"/>
      <c r="B695" s="15"/>
      <c r="C695" s="15"/>
      <c r="D695" s="15"/>
      <c r="E695" s="15"/>
      <c r="F695" s="15"/>
      <c r="G695" s="15"/>
      <c r="H695" s="16" t="str">
        <f aca="false">IF(OR(D695="",F695=""),"",IF(D695=F695,"Yes","No"))</f>
        <v/>
      </c>
      <c r="I695" s="15"/>
      <c r="J695" s="15"/>
      <c r="K695" s="15"/>
      <c r="L695" s="15"/>
    </row>
    <row r="696" customFormat="false" ht="15" hidden="false" customHeight="false" outlineLevel="0" collapsed="false">
      <c r="A696" s="15"/>
      <c r="B696" s="15"/>
      <c r="C696" s="15"/>
      <c r="D696" s="15"/>
      <c r="E696" s="15"/>
      <c r="F696" s="15"/>
      <c r="G696" s="15"/>
      <c r="H696" s="16" t="str">
        <f aca="false">IF(OR(D696="",F696=""),"",IF(D696=F696,"Yes","No"))</f>
        <v/>
      </c>
      <c r="I696" s="15"/>
      <c r="J696" s="15"/>
      <c r="K696" s="15"/>
      <c r="L696" s="15"/>
    </row>
    <row r="697" customFormat="false" ht="15" hidden="false" customHeight="false" outlineLevel="0" collapsed="false">
      <c r="A697" s="15"/>
      <c r="B697" s="15"/>
      <c r="C697" s="15"/>
      <c r="D697" s="15"/>
      <c r="E697" s="15"/>
      <c r="F697" s="15"/>
      <c r="G697" s="15"/>
      <c r="H697" s="16" t="str">
        <f aca="false">IF(OR(D697="",F697=""),"",IF(D697=F697,"Yes","No"))</f>
        <v/>
      </c>
      <c r="I697" s="15"/>
      <c r="J697" s="15"/>
      <c r="K697" s="15"/>
      <c r="L697" s="15"/>
    </row>
    <row r="698" customFormat="false" ht="15" hidden="false" customHeight="false" outlineLevel="0" collapsed="false">
      <c r="A698" s="15"/>
      <c r="B698" s="15"/>
      <c r="C698" s="15"/>
      <c r="D698" s="15"/>
      <c r="E698" s="15"/>
      <c r="F698" s="15"/>
      <c r="G698" s="15"/>
      <c r="H698" s="16" t="str">
        <f aca="false">IF(OR(D698="",F698=""),"",IF(D698=F698,"Yes","No"))</f>
        <v/>
      </c>
      <c r="I698" s="15"/>
      <c r="J698" s="15"/>
      <c r="K698" s="15"/>
      <c r="L698" s="15"/>
    </row>
    <row r="699" customFormat="false" ht="15" hidden="false" customHeight="false" outlineLevel="0" collapsed="false">
      <c r="A699" s="15"/>
      <c r="B699" s="15"/>
      <c r="C699" s="15"/>
      <c r="D699" s="15"/>
      <c r="E699" s="15"/>
      <c r="F699" s="15"/>
      <c r="G699" s="15"/>
      <c r="H699" s="16" t="str">
        <f aca="false">IF(OR(D699="",F699=""),"",IF(D699=F699,"Yes","No"))</f>
        <v/>
      </c>
      <c r="I699" s="15"/>
      <c r="J699" s="15"/>
      <c r="K699" s="15"/>
      <c r="L699" s="15"/>
    </row>
    <row r="700" customFormat="false" ht="15" hidden="false" customHeight="false" outlineLevel="0" collapsed="false">
      <c r="A700" s="15"/>
      <c r="B700" s="15"/>
      <c r="C700" s="15"/>
      <c r="D700" s="15"/>
      <c r="E700" s="15"/>
      <c r="F700" s="15"/>
      <c r="G700" s="15"/>
      <c r="H700" s="16" t="str">
        <f aca="false">IF(OR(D700="",F700=""),"",IF(D700=F700,"Yes","No"))</f>
        <v/>
      </c>
      <c r="I700" s="15"/>
      <c r="J700" s="15"/>
      <c r="K700" s="15"/>
      <c r="L700" s="15"/>
    </row>
    <row r="701" customFormat="false" ht="15" hidden="false" customHeight="false" outlineLevel="0" collapsed="false">
      <c r="A701" s="15"/>
      <c r="B701" s="15"/>
      <c r="C701" s="15"/>
      <c r="D701" s="15"/>
      <c r="E701" s="15"/>
      <c r="F701" s="15"/>
      <c r="G701" s="15"/>
      <c r="H701" s="16" t="str">
        <f aca="false">IF(OR(D701="",F701=""),"",IF(D701=F701,"Yes","No"))</f>
        <v/>
      </c>
      <c r="I701" s="15"/>
      <c r="J701" s="15"/>
      <c r="K701" s="15"/>
      <c r="L701" s="15"/>
    </row>
    <row r="702" customFormat="false" ht="15" hidden="false" customHeight="false" outlineLevel="0" collapsed="false">
      <c r="A702" s="15"/>
      <c r="B702" s="15"/>
      <c r="C702" s="15"/>
      <c r="D702" s="15"/>
      <c r="E702" s="15"/>
      <c r="F702" s="15"/>
      <c r="G702" s="15"/>
      <c r="H702" s="16" t="str">
        <f aca="false">IF(OR(D702="",F702=""),"",IF(D702=F702,"Yes","No"))</f>
        <v/>
      </c>
      <c r="I702" s="15"/>
      <c r="J702" s="15"/>
      <c r="K702" s="15"/>
      <c r="L702" s="15"/>
    </row>
    <row r="703" customFormat="false" ht="15" hidden="false" customHeight="false" outlineLevel="0" collapsed="false">
      <c r="A703" s="15"/>
      <c r="B703" s="15"/>
      <c r="C703" s="15"/>
      <c r="D703" s="15"/>
      <c r="E703" s="15"/>
      <c r="F703" s="15"/>
      <c r="G703" s="15"/>
      <c r="H703" s="16" t="str">
        <f aca="false">IF(OR(D703="",F703=""),"",IF(D703=F703,"Yes","No"))</f>
        <v/>
      </c>
      <c r="I703" s="15"/>
      <c r="J703" s="15"/>
      <c r="K703" s="15"/>
      <c r="L703" s="15"/>
    </row>
    <row r="704" customFormat="false" ht="15" hidden="false" customHeight="false" outlineLevel="0" collapsed="false">
      <c r="A704" s="15"/>
      <c r="B704" s="15"/>
      <c r="C704" s="15"/>
      <c r="D704" s="15"/>
      <c r="E704" s="15"/>
      <c r="F704" s="15"/>
      <c r="G704" s="15"/>
      <c r="H704" s="16" t="str">
        <f aca="false">IF(OR(D704="",F704=""),"",IF(D704=F704,"Yes","No"))</f>
        <v/>
      </c>
      <c r="I704" s="15"/>
      <c r="J704" s="15"/>
      <c r="K704" s="15"/>
      <c r="L704" s="15"/>
    </row>
    <row r="705" customFormat="false" ht="15" hidden="false" customHeight="false" outlineLevel="0" collapsed="false">
      <c r="A705" s="15"/>
      <c r="B705" s="15"/>
      <c r="C705" s="15"/>
      <c r="D705" s="15"/>
      <c r="E705" s="15"/>
      <c r="F705" s="15"/>
      <c r="G705" s="15"/>
      <c r="H705" s="16" t="str">
        <f aca="false">IF(OR(D705="",F705=""),"",IF(D705=F705,"Yes","No"))</f>
        <v/>
      </c>
      <c r="I705" s="15"/>
      <c r="J705" s="15"/>
      <c r="K705" s="15"/>
      <c r="L705" s="15"/>
    </row>
    <row r="706" customFormat="false" ht="15" hidden="false" customHeight="false" outlineLevel="0" collapsed="false">
      <c r="A706" s="15"/>
      <c r="B706" s="15"/>
      <c r="C706" s="15"/>
      <c r="D706" s="15"/>
      <c r="E706" s="15"/>
      <c r="F706" s="15"/>
      <c r="G706" s="15"/>
      <c r="H706" s="16" t="str">
        <f aca="false">IF(OR(D706="",F706=""),"",IF(D706=F706,"Yes","No"))</f>
        <v/>
      </c>
      <c r="I706" s="15"/>
      <c r="J706" s="15"/>
      <c r="K706" s="15"/>
      <c r="L706" s="15"/>
    </row>
    <row r="707" customFormat="false" ht="15" hidden="false" customHeight="false" outlineLevel="0" collapsed="false">
      <c r="A707" s="15"/>
      <c r="B707" s="15"/>
      <c r="C707" s="15"/>
      <c r="D707" s="15"/>
      <c r="E707" s="15"/>
      <c r="F707" s="15"/>
      <c r="G707" s="15"/>
      <c r="H707" s="16" t="str">
        <f aca="false">IF(OR(D707="",F707=""),"",IF(D707=F707,"Yes","No"))</f>
        <v/>
      </c>
      <c r="I707" s="15"/>
      <c r="J707" s="15"/>
      <c r="K707" s="15"/>
      <c r="L707" s="15"/>
    </row>
    <row r="708" customFormat="false" ht="15" hidden="false" customHeight="false" outlineLevel="0" collapsed="false">
      <c r="A708" s="15"/>
      <c r="B708" s="15"/>
      <c r="C708" s="15"/>
      <c r="D708" s="15"/>
      <c r="E708" s="15"/>
      <c r="F708" s="15"/>
      <c r="G708" s="15"/>
      <c r="H708" s="16" t="str">
        <f aca="false">IF(OR(D708="",F708=""),"",IF(D708=F708,"Yes","No"))</f>
        <v/>
      </c>
      <c r="I708" s="15"/>
      <c r="J708" s="15"/>
      <c r="K708" s="15"/>
      <c r="L708" s="15"/>
    </row>
    <row r="709" customFormat="false" ht="15" hidden="false" customHeight="false" outlineLevel="0" collapsed="false">
      <c r="A709" s="15"/>
      <c r="B709" s="15"/>
      <c r="C709" s="15"/>
      <c r="D709" s="15"/>
      <c r="E709" s="15"/>
      <c r="F709" s="15"/>
      <c r="G709" s="15"/>
      <c r="H709" s="16" t="str">
        <f aca="false">IF(OR(D709="",F709=""),"",IF(D709=F709,"Yes","No"))</f>
        <v/>
      </c>
      <c r="I709" s="15"/>
      <c r="J709" s="15"/>
      <c r="K709" s="15"/>
      <c r="L709" s="15"/>
    </row>
    <row r="710" customFormat="false" ht="15" hidden="false" customHeight="false" outlineLevel="0" collapsed="false">
      <c r="A710" s="15"/>
      <c r="B710" s="15"/>
      <c r="C710" s="15"/>
      <c r="D710" s="15"/>
      <c r="E710" s="15"/>
      <c r="F710" s="15"/>
      <c r="G710" s="15"/>
      <c r="H710" s="16" t="str">
        <f aca="false">IF(OR(D710="",F710=""),"",IF(D710=F710,"Yes","No"))</f>
        <v/>
      </c>
      <c r="I710" s="15"/>
      <c r="J710" s="15"/>
      <c r="K710" s="15"/>
      <c r="L710" s="15"/>
    </row>
    <row r="711" customFormat="false" ht="15" hidden="false" customHeight="false" outlineLevel="0" collapsed="false">
      <c r="A711" s="15"/>
      <c r="B711" s="15"/>
      <c r="C711" s="15"/>
      <c r="D711" s="15"/>
      <c r="E711" s="15"/>
      <c r="F711" s="15"/>
      <c r="G711" s="15"/>
      <c r="H711" s="16" t="str">
        <f aca="false">IF(OR(D711="",F711=""),"",IF(D711=F711,"Yes","No"))</f>
        <v/>
      </c>
      <c r="I711" s="15"/>
      <c r="J711" s="15"/>
      <c r="K711" s="15"/>
      <c r="L711" s="15"/>
    </row>
    <row r="712" customFormat="false" ht="15" hidden="false" customHeight="false" outlineLevel="0" collapsed="false">
      <c r="A712" s="15"/>
      <c r="B712" s="15"/>
      <c r="C712" s="15"/>
      <c r="D712" s="15"/>
      <c r="E712" s="15"/>
      <c r="F712" s="15"/>
      <c r="G712" s="15"/>
      <c r="H712" s="16" t="str">
        <f aca="false">IF(OR(D712="",F712=""),"",IF(D712=F712,"Yes","No"))</f>
        <v/>
      </c>
      <c r="I712" s="15"/>
      <c r="J712" s="15"/>
      <c r="K712" s="15"/>
      <c r="L712" s="15"/>
    </row>
    <row r="713" customFormat="false" ht="15" hidden="false" customHeight="false" outlineLevel="0" collapsed="false">
      <c r="A713" s="15"/>
      <c r="B713" s="15"/>
      <c r="C713" s="15"/>
      <c r="D713" s="15"/>
      <c r="E713" s="15"/>
      <c r="F713" s="15"/>
      <c r="G713" s="15"/>
      <c r="H713" s="16" t="str">
        <f aca="false">IF(OR(D713="",F713=""),"",IF(D713=F713,"Yes","No"))</f>
        <v/>
      </c>
      <c r="I713" s="15"/>
      <c r="J713" s="15"/>
      <c r="K713" s="15"/>
      <c r="L713" s="15"/>
    </row>
    <row r="714" customFormat="false" ht="15" hidden="false" customHeight="false" outlineLevel="0" collapsed="false">
      <c r="A714" s="15"/>
      <c r="B714" s="15"/>
      <c r="C714" s="15"/>
      <c r="D714" s="15"/>
      <c r="E714" s="15"/>
      <c r="F714" s="15"/>
      <c r="G714" s="15"/>
      <c r="H714" s="16" t="str">
        <f aca="false">IF(OR(D714="",F714=""),"",IF(D714=F714,"Yes","No"))</f>
        <v/>
      </c>
      <c r="I714" s="15"/>
      <c r="J714" s="15"/>
      <c r="K714" s="15"/>
      <c r="L714" s="15"/>
    </row>
    <row r="715" customFormat="false" ht="15" hidden="false" customHeight="false" outlineLevel="0" collapsed="false">
      <c r="A715" s="15"/>
      <c r="B715" s="15"/>
      <c r="C715" s="15"/>
      <c r="D715" s="15"/>
      <c r="E715" s="15"/>
      <c r="F715" s="15"/>
      <c r="G715" s="15"/>
      <c r="H715" s="16" t="str">
        <f aca="false">IF(OR(D715="",F715=""),"",IF(D715=F715,"Yes","No"))</f>
        <v/>
      </c>
      <c r="I715" s="15"/>
      <c r="J715" s="15"/>
      <c r="K715" s="15"/>
      <c r="L715" s="15"/>
    </row>
    <row r="716" customFormat="false" ht="15" hidden="false" customHeight="false" outlineLevel="0" collapsed="false">
      <c r="A716" s="15"/>
      <c r="B716" s="15"/>
      <c r="C716" s="15"/>
      <c r="D716" s="15"/>
      <c r="E716" s="15"/>
      <c r="F716" s="15"/>
      <c r="G716" s="15"/>
      <c r="H716" s="16" t="str">
        <f aca="false">IF(OR(D716="",F716=""),"",IF(D716=F716,"Yes","No"))</f>
        <v/>
      </c>
      <c r="I716" s="15"/>
      <c r="J716" s="15"/>
      <c r="K716" s="15"/>
      <c r="L716" s="15"/>
    </row>
    <row r="717" customFormat="false" ht="15" hidden="false" customHeight="false" outlineLevel="0" collapsed="false">
      <c r="A717" s="15"/>
      <c r="B717" s="15"/>
      <c r="C717" s="15"/>
      <c r="D717" s="15"/>
      <c r="E717" s="15"/>
      <c r="F717" s="15"/>
      <c r="G717" s="15"/>
      <c r="H717" s="16" t="str">
        <f aca="false">IF(OR(D717="",F717=""),"",IF(D717=F717,"Yes","No"))</f>
        <v/>
      </c>
      <c r="I717" s="15"/>
      <c r="J717" s="15"/>
      <c r="K717" s="15"/>
      <c r="L717" s="15"/>
    </row>
    <row r="718" customFormat="false" ht="15" hidden="false" customHeight="false" outlineLevel="0" collapsed="false">
      <c r="A718" s="15"/>
      <c r="B718" s="15"/>
      <c r="C718" s="15"/>
      <c r="D718" s="15"/>
      <c r="E718" s="15"/>
      <c r="F718" s="15"/>
      <c r="G718" s="15"/>
      <c r="H718" s="16" t="str">
        <f aca="false">IF(OR(D718="",F718=""),"",IF(D718=F718,"Yes","No"))</f>
        <v/>
      </c>
      <c r="I718" s="15"/>
      <c r="J718" s="15"/>
      <c r="K718" s="15"/>
      <c r="L718" s="15"/>
    </row>
    <row r="719" customFormat="false" ht="15" hidden="false" customHeight="false" outlineLevel="0" collapsed="false">
      <c r="A719" s="15"/>
      <c r="B719" s="15"/>
      <c r="C719" s="15"/>
      <c r="D719" s="15"/>
      <c r="E719" s="15"/>
      <c r="F719" s="15"/>
      <c r="G719" s="15"/>
      <c r="H719" s="16" t="str">
        <f aca="false">IF(OR(D719="",F719=""),"",IF(D719=F719,"Yes","No"))</f>
        <v/>
      </c>
      <c r="I719" s="15"/>
      <c r="J719" s="15"/>
      <c r="K719" s="15"/>
      <c r="L719" s="15"/>
    </row>
    <row r="720" customFormat="false" ht="15" hidden="false" customHeight="false" outlineLevel="0" collapsed="false">
      <c r="A720" s="15"/>
      <c r="B720" s="15"/>
      <c r="C720" s="15"/>
      <c r="D720" s="15"/>
      <c r="E720" s="15"/>
      <c r="F720" s="15"/>
      <c r="G720" s="15"/>
      <c r="H720" s="16" t="str">
        <f aca="false">IF(OR(D720="",F720=""),"",IF(D720=F720,"Yes","No"))</f>
        <v/>
      </c>
      <c r="I720" s="15"/>
      <c r="J720" s="15"/>
      <c r="K720" s="15"/>
      <c r="L720" s="15"/>
    </row>
    <row r="721" customFormat="false" ht="15" hidden="false" customHeight="false" outlineLevel="0" collapsed="false">
      <c r="A721" s="15"/>
      <c r="B721" s="15"/>
      <c r="C721" s="15"/>
      <c r="D721" s="15"/>
      <c r="E721" s="15"/>
      <c r="F721" s="15"/>
      <c r="G721" s="15"/>
      <c r="H721" s="16" t="str">
        <f aca="false">IF(OR(D721="",F721=""),"",IF(D721=F721,"Yes","No"))</f>
        <v/>
      </c>
      <c r="I721" s="15"/>
      <c r="J721" s="15"/>
      <c r="K721" s="15"/>
      <c r="L721" s="15"/>
    </row>
    <row r="722" customFormat="false" ht="15" hidden="false" customHeight="false" outlineLevel="0" collapsed="false">
      <c r="A722" s="15"/>
      <c r="B722" s="15"/>
      <c r="C722" s="15"/>
      <c r="D722" s="15"/>
      <c r="E722" s="15"/>
      <c r="F722" s="15"/>
      <c r="G722" s="15"/>
      <c r="H722" s="16" t="str">
        <f aca="false">IF(OR(D722="",F722=""),"",IF(D722=F722,"Yes","No"))</f>
        <v/>
      </c>
      <c r="I722" s="15"/>
      <c r="J722" s="15"/>
      <c r="K722" s="15"/>
      <c r="L722" s="15"/>
    </row>
    <row r="723" customFormat="false" ht="15" hidden="false" customHeight="false" outlineLevel="0" collapsed="false">
      <c r="A723" s="15"/>
      <c r="B723" s="15"/>
      <c r="C723" s="15"/>
      <c r="D723" s="15"/>
      <c r="E723" s="15"/>
      <c r="F723" s="15"/>
      <c r="G723" s="15"/>
      <c r="H723" s="16" t="str">
        <f aca="false">IF(OR(D723="",F723=""),"",IF(D723=F723,"Yes","No"))</f>
        <v/>
      </c>
      <c r="I723" s="15"/>
      <c r="J723" s="15"/>
      <c r="K723" s="15"/>
      <c r="L723" s="15"/>
    </row>
    <row r="724" customFormat="false" ht="15" hidden="false" customHeight="false" outlineLevel="0" collapsed="false">
      <c r="A724" s="15"/>
      <c r="B724" s="15"/>
      <c r="C724" s="15"/>
      <c r="D724" s="15"/>
      <c r="E724" s="15"/>
      <c r="F724" s="15"/>
      <c r="G724" s="15"/>
      <c r="H724" s="16" t="str">
        <f aca="false">IF(OR(D724="",F724=""),"",IF(D724=F724,"Yes","No"))</f>
        <v/>
      </c>
      <c r="I724" s="15"/>
      <c r="J724" s="15"/>
      <c r="K724" s="15"/>
      <c r="L724" s="15"/>
    </row>
    <row r="725" customFormat="false" ht="15" hidden="false" customHeight="false" outlineLevel="0" collapsed="false">
      <c r="A725" s="15"/>
      <c r="B725" s="15"/>
      <c r="C725" s="15"/>
      <c r="D725" s="15"/>
      <c r="E725" s="15"/>
      <c r="F725" s="15"/>
      <c r="G725" s="15"/>
      <c r="H725" s="16" t="str">
        <f aca="false">IF(OR(D725="",F725=""),"",IF(D725=F725,"Yes","No"))</f>
        <v/>
      </c>
      <c r="I725" s="15"/>
      <c r="J725" s="15"/>
      <c r="K725" s="15"/>
      <c r="L725" s="15"/>
    </row>
    <row r="726" customFormat="false" ht="15" hidden="false" customHeight="false" outlineLevel="0" collapsed="false">
      <c r="A726" s="15"/>
      <c r="B726" s="15"/>
      <c r="C726" s="15"/>
      <c r="D726" s="15"/>
      <c r="E726" s="15"/>
      <c r="F726" s="15"/>
      <c r="G726" s="15"/>
      <c r="H726" s="16" t="str">
        <f aca="false">IF(OR(D726="",F726=""),"",IF(D726=F726,"Yes","No"))</f>
        <v/>
      </c>
      <c r="I726" s="15"/>
      <c r="J726" s="15"/>
      <c r="K726" s="15"/>
      <c r="L726" s="15"/>
    </row>
    <row r="727" customFormat="false" ht="15" hidden="false" customHeight="false" outlineLevel="0" collapsed="false">
      <c r="A727" s="15"/>
      <c r="B727" s="15"/>
      <c r="C727" s="15"/>
      <c r="D727" s="15"/>
      <c r="E727" s="15"/>
      <c r="F727" s="15"/>
      <c r="G727" s="15"/>
      <c r="H727" s="16" t="str">
        <f aca="false">IF(OR(D727="",F727=""),"",IF(D727=F727,"Yes","No"))</f>
        <v/>
      </c>
      <c r="I727" s="15"/>
      <c r="J727" s="15"/>
      <c r="K727" s="15"/>
      <c r="L727" s="15"/>
    </row>
    <row r="728" customFormat="false" ht="15" hidden="false" customHeight="false" outlineLevel="0" collapsed="false">
      <c r="A728" s="15"/>
      <c r="B728" s="15"/>
      <c r="C728" s="15"/>
      <c r="D728" s="15"/>
      <c r="E728" s="15"/>
      <c r="F728" s="15"/>
      <c r="G728" s="15"/>
      <c r="H728" s="16" t="str">
        <f aca="false">IF(OR(D728="",F728=""),"",IF(D728=F728,"Yes","No"))</f>
        <v/>
      </c>
      <c r="I728" s="15"/>
      <c r="J728" s="15"/>
      <c r="K728" s="15"/>
      <c r="L728" s="15"/>
    </row>
    <row r="729" customFormat="false" ht="15" hidden="false" customHeight="false" outlineLevel="0" collapsed="false">
      <c r="A729" s="15"/>
      <c r="B729" s="15"/>
      <c r="C729" s="15"/>
      <c r="D729" s="15"/>
      <c r="E729" s="15"/>
      <c r="F729" s="15"/>
      <c r="G729" s="15"/>
      <c r="H729" s="16" t="str">
        <f aca="false">IF(OR(D729="",F729=""),"",IF(D729=F729,"Yes","No"))</f>
        <v/>
      </c>
      <c r="I729" s="15"/>
      <c r="J729" s="15"/>
      <c r="K729" s="15"/>
      <c r="L729" s="15"/>
    </row>
    <row r="730" customFormat="false" ht="15" hidden="false" customHeight="false" outlineLevel="0" collapsed="false">
      <c r="A730" s="15"/>
      <c r="B730" s="15"/>
      <c r="C730" s="15"/>
      <c r="D730" s="15"/>
      <c r="E730" s="15"/>
      <c r="F730" s="15"/>
      <c r="G730" s="15"/>
      <c r="H730" s="16" t="str">
        <f aca="false">IF(OR(D730="",F730=""),"",IF(D730=F730,"Yes","No"))</f>
        <v/>
      </c>
      <c r="I730" s="15"/>
      <c r="J730" s="15"/>
      <c r="K730" s="15"/>
      <c r="L730" s="15"/>
    </row>
    <row r="731" customFormat="false" ht="15" hidden="false" customHeight="false" outlineLevel="0" collapsed="false">
      <c r="A731" s="15"/>
      <c r="B731" s="15"/>
      <c r="C731" s="15"/>
      <c r="D731" s="15"/>
      <c r="E731" s="15"/>
      <c r="F731" s="15"/>
      <c r="G731" s="15"/>
      <c r="H731" s="16" t="str">
        <f aca="false">IF(OR(D731="",F731=""),"",IF(D731=F731,"Yes","No"))</f>
        <v/>
      </c>
      <c r="I731" s="15"/>
      <c r="J731" s="15"/>
      <c r="K731" s="15"/>
      <c r="L731" s="15"/>
    </row>
    <row r="732" customFormat="false" ht="15" hidden="false" customHeight="false" outlineLevel="0" collapsed="false">
      <c r="A732" s="15"/>
      <c r="B732" s="15"/>
      <c r="C732" s="15"/>
      <c r="D732" s="15"/>
      <c r="E732" s="15"/>
      <c r="F732" s="15"/>
      <c r="G732" s="15"/>
      <c r="H732" s="16" t="str">
        <f aca="false">IF(OR(D732="",F732=""),"",IF(D732=F732,"Yes","No"))</f>
        <v/>
      </c>
      <c r="I732" s="15"/>
      <c r="J732" s="15"/>
      <c r="K732" s="15"/>
      <c r="L732" s="15"/>
    </row>
    <row r="733" customFormat="false" ht="15" hidden="false" customHeight="false" outlineLevel="0" collapsed="false">
      <c r="A733" s="15"/>
      <c r="B733" s="15"/>
      <c r="C733" s="15"/>
      <c r="D733" s="15"/>
      <c r="E733" s="15"/>
      <c r="F733" s="15"/>
      <c r="G733" s="15"/>
      <c r="H733" s="16" t="str">
        <f aca="false">IF(OR(D733="",F733=""),"",IF(D733=F733,"Yes","No"))</f>
        <v/>
      </c>
      <c r="I733" s="15"/>
      <c r="J733" s="15"/>
      <c r="K733" s="15"/>
      <c r="L733" s="15"/>
    </row>
    <row r="734" customFormat="false" ht="15" hidden="false" customHeight="false" outlineLevel="0" collapsed="false">
      <c r="A734" s="15"/>
      <c r="B734" s="15"/>
      <c r="C734" s="15"/>
      <c r="D734" s="15"/>
      <c r="E734" s="15"/>
      <c r="F734" s="15"/>
      <c r="G734" s="15"/>
      <c r="H734" s="16" t="str">
        <f aca="false">IF(OR(D734="",F734=""),"",IF(D734=F734,"Yes","No"))</f>
        <v/>
      </c>
      <c r="I734" s="15"/>
      <c r="J734" s="15"/>
      <c r="K734" s="15"/>
      <c r="L734" s="15"/>
    </row>
    <row r="735" customFormat="false" ht="15" hidden="false" customHeight="false" outlineLevel="0" collapsed="false">
      <c r="A735" s="15"/>
      <c r="B735" s="15"/>
      <c r="C735" s="15"/>
      <c r="D735" s="15"/>
      <c r="E735" s="15"/>
      <c r="F735" s="15"/>
      <c r="G735" s="15"/>
      <c r="H735" s="16" t="str">
        <f aca="false">IF(OR(D735="",F735=""),"",IF(D735=F735,"Yes","No"))</f>
        <v/>
      </c>
      <c r="I735" s="15"/>
      <c r="J735" s="15"/>
      <c r="K735" s="15"/>
      <c r="L735" s="15"/>
    </row>
    <row r="736" customFormat="false" ht="15" hidden="false" customHeight="false" outlineLevel="0" collapsed="false">
      <c r="A736" s="15"/>
      <c r="B736" s="15"/>
      <c r="C736" s="15"/>
      <c r="D736" s="15"/>
      <c r="E736" s="15"/>
      <c r="F736" s="15"/>
      <c r="G736" s="15"/>
      <c r="H736" s="16" t="str">
        <f aca="false">IF(OR(D736="",F736=""),"",IF(D736=F736,"Yes","No"))</f>
        <v/>
      </c>
      <c r="I736" s="15"/>
      <c r="J736" s="15"/>
      <c r="K736" s="15"/>
      <c r="L736" s="15"/>
    </row>
    <row r="737" customFormat="false" ht="15" hidden="false" customHeight="false" outlineLevel="0" collapsed="false">
      <c r="A737" s="15"/>
      <c r="B737" s="15"/>
      <c r="C737" s="15"/>
      <c r="D737" s="15"/>
      <c r="E737" s="15"/>
      <c r="F737" s="15"/>
      <c r="G737" s="15"/>
      <c r="H737" s="16" t="str">
        <f aca="false">IF(OR(D737="",F737=""),"",IF(D737=F737,"Yes","No"))</f>
        <v/>
      </c>
      <c r="I737" s="15"/>
      <c r="J737" s="15"/>
      <c r="K737" s="15"/>
      <c r="L737" s="15"/>
    </row>
    <row r="738" customFormat="false" ht="15" hidden="false" customHeight="false" outlineLevel="0" collapsed="false">
      <c r="A738" s="15"/>
      <c r="B738" s="15"/>
      <c r="C738" s="15"/>
      <c r="D738" s="15"/>
      <c r="E738" s="15"/>
      <c r="F738" s="15"/>
      <c r="G738" s="15"/>
      <c r="H738" s="16" t="str">
        <f aca="false">IF(OR(D738="",F738=""),"",IF(D738=F738,"Yes","No"))</f>
        <v/>
      </c>
      <c r="I738" s="15"/>
      <c r="J738" s="15"/>
      <c r="K738" s="15"/>
      <c r="L738" s="15"/>
    </row>
    <row r="739" customFormat="false" ht="15" hidden="false" customHeight="false" outlineLevel="0" collapsed="false">
      <c r="A739" s="15"/>
      <c r="B739" s="15"/>
      <c r="C739" s="15"/>
      <c r="D739" s="15"/>
      <c r="E739" s="15"/>
      <c r="F739" s="15"/>
      <c r="G739" s="15"/>
      <c r="H739" s="16" t="str">
        <f aca="false">IF(OR(D739="",F739=""),"",IF(D739=F739,"Yes","No"))</f>
        <v/>
      </c>
      <c r="I739" s="15"/>
      <c r="J739" s="15"/>
      <c r="K739" s="15"/>
      <c r="L739" s="15"/>
    </row>
    <row r="740" customFormat="false" ht="15" hidden="false" customHeight="false" outlineLevel="0" collapsed="false">
      <c r="A740" s="15"/>
      <c r="B740" s="15"/>
      <c r="C740" s="15"/>
      <c r="D740" s="15"/>
      <c r="E740" s="15"/>
      <c r="F740" s="15"/>
      <c r="G740" s="15"/>
      <c r="H740" s="16" t="str">
        <f aca="false">IF(OR(D740="",F740=""),"",IF(D740=F740,"Yes","No"))</f>
        <v/>
      </c>
      <c r="I740" s="15"/>
      <c r="J740" s="15"/>
      <c r="K740" s="15"/>
      <c r="L740" s="15"/>
    </row>
    <row r="741" customFormat="false" ht="15" hidden="false" customHeight="false" outlineLevel="0" collapsed="false">
      <c r="A741" s="15"/>
      <c r="B741" s="15"/>
      <c r="C741" s="15"/>
      <c r="D741" s="15"/>
      <c r="E741" s="15"/>
      <c r="F741" s="15"/>
      <c r="G741" s="15"/>
      <c r="H741" s="16" t="str">
        <f aca="false">IF(OR(D741="",F741=""),"",IF(D741=F741,"Yes","No"))</f>
        <v/>
      </c>
      <c r="I741" s="15"/>
      <c r="J741" s="15"/>
      <c r="K741" s="15"/>
      <c r="L741" s="15"/>
    </row>
    <row r="742" customFormat="false" ht="15" hidden="false" customHeight="false" outlineLevel="0" collapsed="false">
      <c r="A742" s="15"/>
      <c r="B742" s="15"/>
      <c r="C742" s="15"/>
      <c r="D742" s="15"/>
      <c r="E742" s="15"/>
      <c r="F742" s="15"/>
      <c r="G742" s="15"/>
      <c r="H742" s="16" t="str">
        <f aca="false">IF(OR(D742="",F742=""),"",IF(D742=F742,"Yes","No"))</f>
        <v/>
      </c>
      <c r="I742" s="15"/>
      <c r="J742" s="15"/>
      <c r="K742" s="15"/>
      <c r="L742" s="15"/>
    </row>
    <row r="743" customFormat="false" ht="15" hidden="false" customHeight="false" outlineLevel="0" collapsed="false">
      <c r="A743" s="15"/>
      <c r="B743" s="15"/>
      <c r="C743" s="15"/>
      <c r="D743" s="15"/>
      <c r="E743" s="15"/>
      <c r="F743" s="15"/>
      <c r="G743" s="15"/>
      <c r="H743" s="16" t="str">
        <f aca="false">IF(OR(D743="",F743=""),"",IF(D743=F743,"Yes","No"))</f>
        <v/>
      </c>
      <c r="I743" s="15"/>
      <c r="J743" s="15"/>
      <c r="K743" s="15"/>
      <c r="L743" s="15"/>
    </row>
    <row r="744" customFormat="false" ht="15" hidden="false" customHeight="false" outlineLevel="0" collapsed="false">
      <c r="A744" s="15"/>
      <c r="B744" s="15"/>
      <c r="C744" s="15"/>
      <c r="D744" s="15"/>
      <c r="E744" s="15"/>
      <c r="F744" s="15"/>
      <c r="G744" s="15"/>
      <c r="H744" s="16" t="str">
        <f aca="false">IF(OR(D744="",F744=""),"",IF(D744=F744,"Yes","No"))</f>
        <v/>
      </c>
      <c r="I744" s="15"/>
      <c r="J744" s="15"/>
      <c r="K744" s="15"/>
      <c r="L744" s="15"/>
    </row>
    <row r="745" customFormat="false" ht="15" hidden="false" customHeight="false" outlineLevel="0" collapsed="false">
      <c r="A745" s="15"/>
      <c r="B745" s="15"/>
      <c r="C745" s="15"/>
      <c r="D745" s="15"/>
      <c r="E745" s="15"/>
      <c r="F745" s="15"/>
      <c r="G745" s="15"/>
      <c r="H745" s="16" t="str">
        <f aca="false">IF(OR(D745="",F745=""),"",IF(D745=F745,"Yes","No"))</f>
        <v/>
      </c>
      <c r="I745" s="15"/>
      <c r="J745" s="15"/>
      <c r="K745" s="15"/>
      <c r="L745" s="15"/>
    </row>
    <row r="746" customFormat="false" ht="15" hidden="false" customHeight="false" outlineLevel="0" collapsed="false">
      <c r="A746" s="15"/>
      <c r="B746" s="15"/>
      <c r="C746" s="15"/>
      <c r="D746" s="15"/>
      <c r="E746" s="15"/>
      <c r="F746" s="15"/>
      <c r="G746" s="15"/>
      <c r="H746" s="16" t="str">
        <f aca="false">IF(OR(D746="",F746=""),"",IF(D746=F746,"Yes","No"))</f>
        <v/>
      </c>
      <c r="I746" s="15"/>
      <c r="J746" s="15"/>
      <c r="K746" s="15"/>
      <c r="L746" s="15"/>
    </row>
    <row r="747" customFormat="false" ht="15" hidden="false" customHeight="false" outlineLevel="0" collapsed="false">
      <c r="A747" s="15"/>
      <c r="B747" s="15"/>
      <c r="C747" s="15"/>
      <c r="D747" s="15"/>
      <c r="E747" s="15"/>
      <c r="F747" s="15"/>
      <c r="G747" s="15"/>
      <c r="H747" s="16" t="str">
        <f aca="false">IF(OR(D747="",F747=""),"",IF(D747=F747,"Yes","No"))</f>
        <v/>
      </c>
      <c r="I747" s="15"/>
      <c r="J747" s="15"/>
      <c r="K747" s="15"/>
      <c r="L747" s="15"/>
    </row>
    <row r="748" customFormat="false" ht="15" hidden="false" customHeight="false" outlineLevel="0" collapsed="false">
      <c r="A748" s="15"/>
      <c r="B748" s="15"/>
      <c r="C748" s="15"/>
      <c r="D748" s="15"/>
      <c r="E748" s="15"/>
      <c r="F748" s="15"/>
      <c r="G748" s="15"/>
      <c r="H748" s="16" t="str">
        <f aca="false">IF(OR(D748="",F748=""),"",IF(D748=F748,"Yes","No"))</f>
        <v/>
      </c>
      <c r="I748" s="15"/>
      <c r="J748" s="15"/>
      <c r="K748" s="15"/>
      <c r="L748" s="15"/>
    </row>
    <row r="749" customFormat="false" ht="15" hidden="false" customHeight="false" outlineLevel="0" collapsed="false">
      <c r="A749" s="15"/>
      <c r="B749" s="15"/>
      <c r="C749" s="15"/>
      <c r="D749" s="15"/>
      <c r="E749" s="15"/>
      <c r="F749" s="15"/>
      <c r="G749" s="15"/>
      <c r="H749" s="16" t="str">
        <f aca="false">IF(OR(D749="",F749=""),"",IF(D749=F749,"Yes","No"))</f>
        <v/>
      </c>
      <c r="I749" s="15"/>
      <c r="J749" s="15"/>
      <c r="K749" s="15"/>
      <c r="L749" s="15"/>
    </row>
    <row r="750" customFormat="false" ht="15" hidden="false" customHeight="false" outlineLevel="0" collapsed="false">
      <c r="A750" s="15"/>
      <c r="B750" s="15"/>
      <c r="C750" s="15"/>
      <c r="D750" s="15"/>
      <c r="E750" s="15"/>
      <c r="F750" s="15"/>
      <c r="G750" s="15"/>
      <c r="H750" s="16" t="str">
        <f aca="false">IF(OR(D750="",F750=""),"",IF(D750=F750,"Yes","No"))</f>
        <v/>
      </c>
      <c r="I750" s="15"/>
      <c r="J750" s="15"/>
      <c r="K750" s="15"/>
      <c r="L750" s="15"/>
    </row>
    <row r="751" customFormat="false" ht="15" hidden="false" customHeight="false" outlineLevel="0" collapsed="false">
      <c r="A751" s="15"/>
      <c r="B751" s="15"/>
      <c r="C751" s="15"/>
      <c r="D751" s="15"/>
      <c r="E751" s="15"/>
      <c r="F751" s="15"/>
      <c r="G751" s="15"/>
      <c r="H751" s="16" t="str">
        <f aca="false">IF(OR(D751="",F751=""),"",IF(D751=F751,"Yes","No"))</f>
        <v/>
      </c>
      <c r="I751" s="15"/>
      <c r="J751" s="15"/>
      <c r="K751" s="15"/>
      <c r="L751" s="15"/>
    </row>
    <row r="752" customFormat="false" ht="15" hidden="false" customHeight="false" outlineLevel="0" collapsed="false">
      <c r="A752" s="15"/>
      <c r="B752" s="15"/>
      <c r="C752" s="15"/>
      <c r="D752" s="15"/>
      <c r="E752" s="15"/>
      <c r="F752" s="15"/>
      <c r="G752" s="15"/>
      <c r="H752" s="16" t="str">
        <f aca="false">IF(OR(D752="",F752=""),"",IF(D752=F752,"Yes","No"))</f>
        <v/>
      </c>
      <c r="I752" s="15"/>
      <c r="J752" s="15"/>
      <c r="K752" s="15"/>
      <c r="L752" s="15"/>
    </row>
    <row r="753" customFormat="false" ht="15" hidden="false" customHeight="false" outlineLevel="0" collapsed="false">
      <c r="A753" s="15"/>
      <c r="B753" s="15"/>
      <c r="C753" s="15"/>
      <c r="D753" s="15"/>
      <c r="E753" s="15"/>
      <c r="F753" s="15"/>
      <c r="G753" s="15"/>
      <c r="H753" s="16" t="str">
        <f aca="false">IF(OR(D753="",F753=""),"",IF(D753=F753,"Yes","No"))</f>
        <v/>
      </c>
      <c r="I753" s="15"/>
      <c r="J753" s="15"/>
      <c r="K753" s="15"/>
      <c r="L753" s="15"/>
    </row>
    <row r="754" customFormat="false" ht="15" hidden="false" customHeight="false" outlineLevel="0" collapsed="false">
      <c r="A754" s="15"/>
      <c r="B754" s="15"/>
      <c r="C754" s="15"/>
      <c r="D754" s="15"/>
      <c r="E754" s="15"/>
      <c r="F754" s="15"/>
      <c r="G754" s="15"/>
      <c r="H754" s="16" t="str">
        <f aca="false">IF(OR(D754="",F754=""),"",IF(D754=F754,"Yes","No"))</f>
        <v/>
      </c>
      <c r="I754" s="15"/>
      <c r="J754" s="15"/>
      <c r="K754" s="15"/>
      <c r="L754" s="15"/>
    </row>
    <row r="755" customFormat="false" ht="15" hidden="false" customHeight="false" outlineLevel="0" collapsed="false">
      <c r="A755" s="15"/>
      <c r="B755" s="15"/>
      <c r="C755" s="15"/>
      <c r="D755" s="15"/>
      <c r="E755" s="15"/>
      <c r="F755" s="15"/>
      <c r="G755" s="15"/>
      <c r="H755" s="16" t="str">
        <f aca="false">IF(OR(D755="",F755=""),"",IF(D755=F755,"Yes","No"))</f>
        <v/>
      </c>
      <c r="I755" s="15"/>
      <c r="J755" s="15"/>
      <c r="K755" s="15"/>
      <c r="L755" s="15"/>
    </row>
    <row r="756" customFormat="false" ht="15" hidden="false" customHeight="false" outlineLevel="0" collapsed="false">
      <c r="A756" s="15"/>
      <c r="B756" s="15"/>
      <c r="C756" s="15"/>
      <c r="D756" s="15"/>
      <c r="E756" s="15"/>
      <c r="F756" s="15"/>
      <c r="G756" s="15"/>
      <c r="H756" s="16" t="str">
        <f aca="false">IF(OR(D756="",F756=""),"",IF(D756=F756,"Yes","No"))</f>
        <v/>
      </c>
      <c r="I756" s="15"/>
      <c r="J756" s="15"/>
      <c r="K756" s="15"/>
      <c r="L756" s="15"/>
    </row>
    <row r="757" customFormat="false" ht="15" hidden="false" customHeight="false" outlineLevel="0" collapsed="false">
      <c r="A757" s="15"/>
      <c r="B757" s="15"/>
      <c r="C757" s="15"/>
      <c r="D757" s="15"/>
      <c r="E757" s="15"/>
      <c r="F757" s="15"/>
      <c r="G757" s="15"/>
      <c r="H757" s="16" t="str">
        <f aca="false">IF(OR(D757="",F757=""),"",IF(D757=F757,"Yes","No"))</f>
        <v/>
      </c>
      <c r="I757" s="15"/>
      <c r="J757" s="15"/>
      <c r="K757" s="15"/>
      <c r="L757" s="15"/>
    </row>
    <row r="758" customFormat="false" ht="15" hidden="false" customHeight="false" outlineLevel="0" collapsed="false">
      <c r="A758" s="15"/>
      <c r="B758" s="15"/>
      <c r="C758" s="15"/>
      <c r="D758" s="15"/>
      <c r="E758" s="15"/>
      <c r="F758" s="15"/>
      <c r="G758" s="15"/>
      <c r="H758" s="16" t="str">
        <f aca="false">IF(OR(D758="",F758=""),"",IF(D758=F758,"Yes","No"))</f>
        <v/>
      </c>
      <c r="I758" s="15"/>
      <c r="J758" s="15"/>
      <c r="K758" s="15"/>
      <c r="L758" s="15"/>
    </row>
    <row r="759" customFormat="false" ht="15" hidden="false" customHeight="false" outlineLevel="0" collapsed="false">
      <c r="A759" s="15"/>
      <c r="B759" s="15"/>
      <c r="C759" s="15"/>
      <c r="D759" s="15"/>
      <c r="E759" s="15"/>
      <c r="F759" s="15"/>
      <c r="G759" s="15"/>
      <c r="H759" s="16" t="str">
        <f aca="false">IF(OR(D759="",F759=""),"",IF(D759=F759,"Yes","No"))</f>
        <v/>
      </c>
      <c r="I759" s="15"/>
      <c r="J759" s="15"/>
      <c r="K759" s="15"/>
      <c r="L759" s="15"/>
    </row>
    <row r="760" customFormat="false" ht="15" hidden="false" customHeight="false" outlineLevel="0" collapsed="false">
      <c r="A760" s="15"/>
      <c r="B760" s="15"/>
      <c r="C760" s="15"/>
      <c r="D760" s="15"/>
      <c r="E760" s="15"/>
      <c r="F760" s="15"/>
      <c r="G760" s="15"/>
      <c r="H760" s="16" t="str">
        <f aca="false">IF(OR(D760="",F760=""),"",IF(D760=F760,"Yes","No"))</f>
        <v/>
      </c>
      <c r="I760" s="15"/>
      <c r="J760" s="15"/>
      <c r="K760" s="15"/>
      <c r="L760" s="15"/>
    </row>
    <row r="761" customFormat="false" ht="15" hidden="false" customHeight="false" outlineLevel="0" collapsed="false">
      <c r="A761" s="15"/>
      <c r="B761" s="15"/>
      <c r="C761" s="15"/>
      <c r="D761" s="15"/>
      <c r="E761" s="15"/>
      <c r="F761" s="15"/>
      <c r="G761" s="15"/>
      <c r="H761" s="16" t="str">
        <f aca="false">IF(OR(D761="",F761=""),"",IF(D761=F761,"Yes","No"))</f>
        <v/>
      </c>
      <c r="I761" s="15"/>
      <c r="J761" s="15"/>
      <c r="K761" s="15"/>
      <c r="L761" s="15"/>
    </row>
    <row r="762" customFormat="false" ht="15" hidden="false" customHeight="false" outlineLevel="0" collapsed="false">
      <c r="A762" s="15"/>
      <c r="B762" s="15"/>
      <c r="C762" s="15"/>
      <c r="D762" s="15"/>
      <c r="E762" s="15"/>
      <c r="F762" s="15"/>
      <c r="G762" s="15"/>
      <c r="H762" s="16" t="str">
        <f aca="false">IF(OR(D762="",F762=""),"",IF(D762=F762,"Yes","No"))</f>
        <v/>
      </c>
      <c r="I762" s="15"/>
      <c r="J762" s="15"/>
      <c r="K762" s="15"/>
      <c r="L762" s="15"/>
    </row>
    <row r="763" customFormat="false" ht="15" hidden="false" customHeight="false" outlineLevel="0" collapsed="false">
      <c r="A763" s="15"/>
      <c r="B763" s="15"/>
      <c r="C763" s="15"/>
      <c r="D763" s="15"/>
      <c r="E763" s="15"/>
      <c r="F763" s="15"/>
      <c r="G763" s="15"/>
      <c r="H763" s="16" t="str">
        <f aca="false">IF(OR(D763="",F763=""),"",IF(D763=F763,"Yes","No"))</f>
        <v/>
      </c>
      <c r="I763" s="15"/>
      <c r="J763" s="15"/>
      <c r="K763" s="15"/>
      <c r="L763" s="15"/>
    </row>
    <row r="764" customFormat="false" ht="15" hidden="false" customHeight="false" outlineLevel="0" collapsed="false">
      <c r="A764" s="15"/>
      <c r="B764" s="15"/>
      <c r="C764" s="15"/>
      <c r="D764" s="15"/>
      <c r="E764" s="15"/>
      <c r="F764" s="15"/>
      <c r="G764" s="15"/>
      <c r="H764" s="16" t="str">
        <f aca="false">IF(OR(D764="",F764=""),"",IF(D764=F764,"Yes","No"))</f>
        <v/>
      </c>
      <c r="I764" s="15"/>
      <c r="J764" s="15"/>
      <c r="K764" s="15"/>
      <c r="L764" s="15"/>
    </row>
    <row r="765" customFormat="false" ht="15" hidden="false" customHeight="false" outlineLevel="0" collapsed="false">
      <c r="A765" s="15"/>
      <c r="B765" s="15"/>
      <c r="C765" s="15"/>
      <c r="D765" s="15"/>
      <c r="E765" s="15"/>
      <c r="F765" s="15"/>
      <c r="G765" s="15"/>
      <c r="H765" s="16" t="str">
        <f aca="false">IF(OR(D765="",F765=""),"",IF(D765=F765,"Yes","No"))</f>
        <v/>
      </c>
      <c r="I765" s="15"/>
      <c r="J765" s="15"/>
      <c r="K765" s="15"/>
      <c r="L765" s="15"/>
    </row>
    <row r="766" customFormat="false" ht="15" hidden="false" customHeight="false" outlineLevel="0" collapsed="false">
      <c r="A766" s="15"/>
      <c r="B766" s="15"/>
      <c r="C766" s="15"/>
      <c r="D766" s="15"/>
      <c r="E766" s="15"/>
      <c r="F766" s="15"/>
      <c r="G766" s="15"/>
      <c r="H766" s="16" t="str">
        <f aca="false">IF(OR(D766="",F766=""),"",IF(D766=F766,"Yes","No"))</f>
        <v/>
      </c>
      <c r="I766" s="15"/>
      <c r="J766" s="15"/>
      <c r="K766" s="15"/>
      <c r="L766" s="15"/>
    </row>
    <row r="767" customFormat="false" ht="15" hidden="false" customHeight="false" outlineLevel="0" collapsed="false">
      <c r="A767" s="15"/>
      <c r="B767" s="15"/>
      <c r="C767" s="15"/>
      <c r="D767" s="15"/>
      <c r="E767" s="15"/>
      <c r="F767" s="15"/>
      <c r="G767" s="15"/>
      <c r="H767" s="16" t="str">
        <f aca="false">IF(OR(D767="",F767=""),"",IF(D767=F767,"Yes","No"))</f>
        <v/>
      </c>
      <c r="I767" s="15"/>
      <c r="J767" s="15"/>
      <c r="K767" s="15"/>
      <c r="L767" s="15"/>
    </row>
    <row r="768" customFormat="false" ht="15" hidden="false" customHeight="false" outlineLevel="0" collapsed="false">
      <c r="A768" s="15"/>
      <c r="B768" s="15"/>
      <c r="C768" s="15"/>
      <c r="D768" s="15"/>
      <c r="E768" s="15"/>
      <c r="F768" s="15"/>
      <c r="G768" s="15"/>
      <c r="H768" s="16" t="str">
        <f aca="false">IF(OR(D768="",F768=""),"",IF(D768=F768,"Yes","No"))</f>
        <v/>
      </c>
      <c r="I768" s="15"/>
      <c r="J768" s="15"/>
      <c r="K768" s="15"/>
      <c r="L768" s="15"/>
    </row>
    <row r="769" customFormat="false" ht="15" hidden="false" customHeight="false" outlineLevel="0" collapsed="false">
      <c r="A769" s="15"/>
      <c r="B769" s="15"/>
      <c r="C769" s="15"/>
      <c r="D769" s="15"/>
      <c r="E769" s="15"/>
      <c r="F769" s="15"/>
      <c r="G769" s="15"/>
      <c r="H769" s="16" t="str">
        <f aca="false">IF(OR(D769="",F769=""),"",IF(D769=F769,"Yes","No"))</f>
        <v/>
      </c>
      <c r="I769" s="15"/>
      <c r="J769" s="15"/>
      <c r="K769" s="15"/>
      <c r="L769" s="15"/>
    </row>
    <row r="770" customFormat="false" ht="15" hidden="false" customHeight="false" outlineLevel="0" collapsed="false">
      <c r="A770" s="15"/>
      <c r="B770" s="15"/>
      <c r="C770" s="15"/>
      <c r="D770" s="15"/>
      <c r="E770" s="15"/>
      <c r="F770" s="15"/>
      <c r="G770" s="15"/>
      <c r="H770" s="16" t="str">
        <f aca="false">IF(OR(D770="",F770=""),"",IF(D770=F770,"Yes","No"))</f>
        <v/>
      </c>
      <c r="I770" s="15"/>
      <c r="J770" s="15"/>
      <c r="K770" s="15"/>
      <c r="L770" s="15"/>
    </row>
    <row r="771" customFormat="false" ht="15" hidden="false" customHeight="false" outlineLevel="0" collapsed="false">
      <c r="A771" s="15"/>
      <c r="B771" s="15"/>
      <c r="C771" s="15"/>
      <c r="D771" s="15"/>
      <c r="E771" s="15"/>
      <c r="F771" s="15"/>
      <c r="G771" s="15"/>
      <c r="H771" s="16" t="str">
        <f aca="false">IF(OR(D771="",F771=""),"",IF(D771=F771,"Yes","No"))</f>
        <v/>
      </c>
      <c r="I771" s="15"/>
      <c r="J771" s="15"/>
      <c r="K771" s="15"/>
      <c r="L771" s="15"/>
    </row>
    <row r="772" customFormat="false" ht="15" hidden="false" customHeight="false" outlineLevel="0" collapsed="false">
      <c r="A772" s="15"/>
      <c r="B772" s="15"/>
      <c r="C772" s="15"/>
      <c r="D772" s="15"/>
      <c r="E772" s="15"/>
      <c r="F772" s="15"/>
      <c r="G772" s="15"/>
      <c r="H772" s="16" t="str">
        <f aca="false">IF(OR(D772="",F772=""),"",IF(D772=F772,"Yes","No"))</f>
        <v/>
      </c>
      <c r="I772" s="15"/>
      <c r="J772" s="15"/>
      <c r="K772" s="15"/>
      <c r="L772" s="15"/>
    </row>
    <row r="773" customFormat="false" ht="15" hidden="false" customHeight="false" outlineLevel="0" collapsed="false">
      <c r="A773" s="15"/>
      <c r="B773" s="15"/>
      <c r="C773" s="15"/>
      <c r="D773" s="15"/>
      <c r="E773" s="15"/>
      <c r="F773" s="15"/>
      <c r="G773" s="15"/>
      <c r="H773" s="16" t="str">
        <f aca="false">IF(OR(D773="",F773=""),"",IF(D773=F773,"Yes","No"))</f>
        <v/>
      </c>
      <c r="I773" s="15"/>
      <c r="J773" s="15"/>
      <c r="K773" s="15"/>
      <c r="L773" s="15"/>
    </row>
    <row r="774" customFormat="false" ht="15" hidden="false" customHeight="false" outlineLevel="0" collapsed="false">
      <c r="A774" s="15"/>
      <c r="B774" s="15"/>
      <c r="C774" s="15"/>
      <c r="D774" s="15"/>
      <c r="E774" s="15"/>
      <c r="F774" s="15"/>
      <c r="G774" s="15"/>
      <c r="H774" s="16" t="str">
        <f aca="false">IF(OR(D774="",F774=""),"",IF(D774=F774,"Yes","No"))</f>
        <v/>
      </c>
      <c r="I774" s="15"/>
      <c r="J774" s="15"/>
      <c r="K774" s="15"/>
      <c r="L774" s="15"/>
    </row>
    <row r="775" customFormat="false" ht="15" hidden="false" customHeight="false" outlineLevel="0" collapsed="false">
      <c r="A775" s="15"/>
      <c r="B775" s="15"/>
      <c r="C775" s="15"/>
      <c r="D775" s="15"/>
      <c r="E775" s="15"/>
      <c r="F775" s="15"/>
      <c r="G775" s="15"/>
      <c r="H775" s="16" t="str">
        <f aca="false">IF(OR(D775="",F775=""),"",IF(D775=F775,"Yes","No"))</f>
        <v/>
      </c>
      <c r="I775" s="15"/>
      <c r="J775" s="15"/>
      <c r="K775" s="15"/>
      <c r="L775" s="15"/>
    </row>
    <row r="776" customFormat="false" ht="15" hidden="false" customHeight="false" outlineLevel="0" collapsed="false">
      <c r="A776" s="15"/>
      <c r="B776" s="15"/>
      <c r="C776" s="15"/>
      <c r="D776" s="15"/>
      <c r="E776" s="15"/>
      <c r="F776" s="15"/>
      <c r="G776" s="15"/>
      <c r="H776" s="16" t="str">
        <f aca="false">IF(OR(D776="",F776=""),"",IF(D776=F776,"Yes","No"))</f>
        <v/>
      </c>
      <c r="I776" s="15"/>
      <c r="J776" s="15"/>
      <c r="K776" s="15"/>
      <c r="L776" s="15"/>
    </row>
    <row r="777" customFormat="false" ht="15" hidden="false" customHeight="false" outlineLevel="0" collapsed="false">
      <c r="A777" s="15"/>
      <c r="B777" s="15"/>
      <c r="C777" s="15"/>
      <c r="D777" s="15"/>
      <c r="E777" s="15"/>
      <c r="F777" s="15"/>
      <c r="G777" s="15"/>
      <c r="H777" s="16" t="str">
        <f aca="false">IF(OR(D777="",F777=""),"",IF(D777=F777,"Yes","No"))</f>
        <v/>
      </c>
      <c r="I777" s="15"/>
      <c r="J777" s="15"/>
      <c r="K777" s="15"/>
      <c r="L777" s="15"/>
    </row>
    <row r="778" customFormat="false" ht="15" hidden="false" customHeight="false" outlineLevel="0" collapsed="false">
      <c r="A778" s="15"/>
      <c r="B778" s="15"/>
      <c r="C778" s="15"/>
      <c r="D778" s="15"/>
      <c r="E778" s="15"/>
      <c r="F778" s="15"/>
      <c r="G778" s="15"/>
      <c r="H778" s="16" t="str">
        <f aca="false">IF(OR(D778="",F778=""),"",IF(D778=F778,"Yes","No"))</f>
        <v/>
      </c>
      <c r="I778" s="15"/>
      <c r="J778" s="15"/>
      <c r="K778" s="15"/>
      <c r="L778" s="15"/>
    </row>
    <row r="779" customFormat="false" ht="15" hidden="false" customHeight="false" outlineLevel="0" collapsed="false">
      <c r="A779" s="15"/>
      <c r="B779" s="15"/>
      <c r="C779" s="15"/>
      <c r="D779" s="15"/>
      <c r="E779" s="15"/>
      <c r="F779" s="15"/>
      <c r="G779" s="15"/>
      <c r="H779" s="16" t="str">
        <f aca="false">IF(OR(D779="",F779=""),"",IF(D779=F779,"Yes","No"))</f>
        <v/>
      </c>
      <c r="I779" s="15"/>
      <c r="J779" s="15"/>
      <c r="K779" s="15"/>
      <c r="L779" s="15"/>
    </row>
    <row r="780" customFormat="false" ht="15" hidden="false" customHeight="false" outlineLevel="0" collapsed="false">
      <c r="A780" s="15"/>
      <c r="B780" s="15"/>
      <c r="C780" s="15"/>
      <c r="D780" s="15"/>
      <c r="E780" s="15"/>
      <c r="F780" s="15"/>
      <c r="G780" s="15"/>
      <c r="H780" s="16" t="str">
        <f aca="false">IF(OR(D780="",F780=""),"",IF(D780=F780,"Yes","No"))</f>
        <v/>
      </c>
      <c r="I780" s="15"/>
      <c r="J780" s="15"/>
      <c r="K780" s="15"/>
      <c r="L780" s="15"/>
    </row>
    <row r="781" customFormat="false" ht="15" hidden="false" customHeight="false" outlineLevel="0" collapsed="false">
      <c r="A781" s="15"/>
      <c r="B781" s="15"/>
      <c r="C781" s="15"/>
      <c r="D781" s="15"/>
      <c r="E781" s="15"/>
      <c r="F781" s="15"/>
      <c r="G781" s="15"/>
      <c r="H781" s="16" t="str">
        <f aca="false">IF(OR(D781="",F781=""),"",IF(D781=F781,"Yes","No"))</f>
        <v/>
      </c>
      <c r="I781" s="15"/>
      <c r="J781" s="15"/>
      <c r="K781" s="15"/>
      <c r="L781" s="15"/>
    </row>
    <row r="782" customFormat="false" ht="15" hidden="false" customHeight="false" outlineLevel="0" collapsed="false">
      <c r="A782" s="15"/>
      <c r="B782" s="15"/>
      <c r="C782" s="15"/>
      <c r="D782" s="15"/>
      <c r="E782" s="15"/>
      <c r="F782" s="15"/>
      <c r="G782" s="15"/>
      <c r="H782" s="16" t="str">
        <f aca="false">IF(OR(D782="",F782=""),"",IF(D782=F782,"Yes","No"))</f>
        <v/>
      </c>
      <c r="I782" s="15"/>
      <c r="J782" s="15"/>
      <c r="K782" s="15"/>
      <c r="L782" s="15"/>
    </row>
    <row r="783" customFormat="false" ht="15" hidden="false" customHeight="false" outlineLevel="0" collapsed="false">
      <c r="A783" s="15"/>
      <c r="B783" s="15"/>
      <c r="C783" s="15"/>
      <c r="D783" s="15"/>
      <c r="E783" s="15"/>
      <c r="F783" s="15"/>
      <c r="G783" s="15"/>
      <c r="H783" s="16" t="str">
        <f aca="false">IF(OR(D783="",F783=""),"",IF(D783=F783,"Yes","No"))</f>
        <v/>
      </c>
      <c r="I783" s="15"/>
      <c r="J783" s="15"/>
      <c r="K783" s="15"/>
      <c r="L783" s="15"/>
    </row>
    <row r="784" customFormat="false" ht="15" hidden="false" customHeight="false" outlineLevel="0" collapsed="false">
      <c r="A784" s="15"/>
      <c r="B784" s="15"/>
      <c r="C784" s="15"/>
      <c r="D784" s="15"/>
      <c r="E784" s="15"/>
      <c r="F784" s="15"/>
      <c r="G784" s="15"/>
      <c r="H784" s="16" t="str">
        <f aca="false">IF(OR(D784="",F784=""),"",IF(D784=F784,"Yes","No"))</f>
        <v/>
      </c>
      <c r="I784" s="15"/>
      <c r="J784" s="15"/>
      <c r="K784" s="15"/>
      <c r="L784" s="15"/>
    </row>
    <row r="785" customFormat="false" ht="15" hidden="false" customHeight="false" outlineLevel="0" collapsed="false">
      <c r="A785" s="15"/>
      <c r="B785" s="15"/>
      <c r="C785" s="15"/>
      <c r="D785" s="15"/>
      <c r="E785" s="15"/>
      <c r="F785" s="15"/>
      <c r="G785" s="15"/>
      <c r="H785" s="16" t="str">
        <f aca="false">IF(OR(D785="",F785=""),"",IF(D785=F785,"Yes","No"))</f>
        <v/>
      </c>
      <c r="I785" s="15"/>
      <c r="J785" s="15"/>
      <c r="K785" s="15"/>
      <c r="L785" s="15"/>
    </row>
    <row r="786" customFormat="false" ht="15" hidden="false" customHeight="false" outlineLevel="0" collapsed="false">
      <c r="A786" s="15"/>
      <c r="B786" s="15"/>
      <c r="C786" s="15"/>
      <c r="D786" s="15"/>
      <c r="E786" s="15"/>
      <c r="F786" s="15"/>
      <c r="G786" s="15"/>
      <c r="H786" s="16" t="str">
        <f aca="false">IF(OR(D786="",F786=""),"",IF(D786=F786,"Yes","No"))</f>
        <v/>
      </c>
      <c r="I786" s="15"/>
      <c r="J786" s="15"/>
      <c r="K786" s="15"/>
      <c r="L786" s="15"/>
    </row>
    <row r="787" customFormat="false" ht="15" hidden="false" customHeight="false" outlineLevel="0" collapsed="false">
      <c r="A787" s="15"/>
      <c r="B787" s="15"/>
      <c r="C787" s="15"/>
      <c r="D787" s="15"/>
      <c r="E787" s="15"/>
      <c r="F787" s="15"/>
      <c r="G787" s="15"/>
      <c r="H787" s="16" t="str">
        <f aca="false">IF(OR(D787="",F787=""),"",IF(D787=F787,"Yes","No"))</f>
        <v/>
      </c>
      <c r="I787" s="15"/>
      <c r="J787" s="15"/>
      <c r="K787" s="15"/>
      <c r="L787" s="15"/>
    </row>
    <row r="788" customFormat="false" ht="15" hidden="false" customHeight="false" outlineLevel="0" collapsed="false">
      <c r="A788" s="15"/>
      <c r="B788" s="15"/>
      <c r="C788" s="15"/>
      <c r="D788" s="15"/>
      <c r="E788" s="15"/>
      <c r="F788" s="15"/>
      <c r="G788" s="15"/>
      <c r="H788" s="16" t="str">
        <f aca="false">IF(OR(D788="",F788=""),"",IF(D788=F788,"Yes","No"))</f>
        <v/>
      </c>
      <c r="I788" s="15"/>
      <c r="J788" s="15"/>
      <c r="K788" s="15"/>
      <c r="L788" s="15"/>
    </row>
    <row r="789" customFormat="false" ht="15" hidden="false" customHeight="false" outlineLevel="0" collapsed="false">
      <c r="A789" s="15"/>
      <c r="B789" s="15"/>
      <c r="C789" s="15"/>
      <c r="D789" s="15"/>
      <c r="E789" s="15"/>
      <c r="F789" s="15"/>
      <c r="G789" s="15"/>
      <c r="H789" s="16" t="str">
        <f aca="false">IF(OR(D789="",F789=""),"",IF(D789=F789,"Yes","No"))</f>
        <v/>
      </c>
      <c r="I789" s="15"/>
      <c r="J789" s="15"/>
      <c r="K789" s="15"/>
      <c r="L789" s="15"/>
    </row>
    <row r="790" customFormat="false" ht="15" hidden="false" customHeight="false" outlineLevel="0" collapsed="false">
      <c r="A790" s="15"/>
      <c r="B790" s="15"/>
      <c r="C790" s="15"/>
      <c r="D790" s="15"/>
      <c r="E790" s="15"/>
      <c r="F790" s="15"/>
      <c r="G790" s="15"/>
      <c r="H790" s="16" t="str">
        <f aca="false">IF(OR(D790="",F790=""),"",IF(D790=F790,"Yes","No"))</f>
        <v/>
      </c>
      <c r="I790" s="15"/>
      <c r="J790" s="15"/>
      <c r="K790" s="15"/>
      <c r="L790" s="15"/>
    </row>
    <row r="791" customFormat="false" ht="15" hidden="false" customHeight="false" outlineLevel="0" collapsed="false">
      <c r="A791" s="15"/>
      <c r="B791" s="15"/>
      <c r="C791" s="15"/>
      <c r="D791" s="15"/>
      <c r="E791" s="15"/>
      <c r="F791" s="15"/>
      <c r="G791" s="15"/>
      <c r="H791" s="16" t="str">
        <f aca="false">IF(OR(D791="",F791=""),"",IF(D791=F791,"Yes","No"))</f>
        <v/>
      </c>
      <c r="I791" s="15"/>
      <c r="J791" s="15"/>
      <c r="K791" s="15"/>
      <c r="L791" s="15"/>
    </row>
    <row r="792" customFormat="false" ht="15" hidden="false" customHeight="false" outlineLevel="0" collapsed="false">
      <c r="A792" s="15"/>
      <c r="B792" s="15"/>
      <c r="C792" s="15"/>
      <c r="D792" s="15"/>
      <c r="E792" s="15"/>
      <c r="F792" s="15"/>
      <c r="G792" s="15"/>
      <c r="H792" s="16" t="str">
        <f aca="false">IF(OR(D792="",F792=""),"",IF(D792=F792,"Yes","No"))</f>
        <v/>
      </c>
      <c r="I792" s="15"/>
      <c r="J792" s="15"/>
      <c r="K792" s="15"/>
      <c r="L792" s="15"/>
    </row>
    <row r="793" customFormat="false" ht="15" hidden="false" customHeight="false" outlineLevel="0" collapsed="false">
      <c r="A793" s="15"/>
      <c r="B793" s="15"/>
      <c r="C793" s="15"/>
      <c r="D793" s="15"/>
      <c r="E793" s="15"/>
      <c r="F793" s="15"/>
      <c r="G793" s="15"/>
      <c r="H793" s="16" t="str">
        <f aca="false">IF(OR(D793="",F793=""),"",IF(D793=F793,"Yes","No"))</f>
        <v/>
      </c>
      <c r="I793" s="15"/>
      <c r="J793" s="15"/>
      <c r="K793" s="15"/>
      <c r="L793" s="15"/>
    </row>
    <row r="794" customFormat="false" ht="15" hidden="false" customHeight="false" outlineLevel="0" collapsed="false">
      <c r="A794" s="15"/>
      <c r="B794" s="15"/>
      <c r="C794" s="15"/>
      <c r="D794" s="15"/>
      <c r="E794" s="15"/>
      <c r="F794" s="15"/>
      <c r="G794" s="15"/>
      <c r="H794" s="16" t="str">
        <f aca="false">IF(OR(D794="",F794=""),"",IF(D794=F794,"Yes","No"))</f>
        <v/>
      </c>
      <c r="I794" s="15"/>
      <c r="J794" s="15"/>
      <c r="K794" s="15"/>
      <c r="L794" s="15"/>
    </row>
    <row r="795" customFormat="false" ht="15" hidden="false" customHeight="false" outlineLevel="0" collapsed="false">
      <c r="A795" s="15"/>
      <c r="B795" s="15"/>
      <c r="C795" s="15"/>
      <c r="D795" s="15"/>
      <c r="E795" s="15"/>
      <c r="F795" s="15"/>
      <c r="G795" s="15"/>
      <c r="H795" s="16" t="str">
        <f aca="false">IF(OR(D795="",F795=""),"",IF(D795=F795,"Yes","No"))</f>
        <v/>
      </c>
      <c r="I795" s="15"/>
      <c r="J795" s="15"/>
      <c r="K795" s="15"/>
      <c r="L795" s="15"/>
    </row>
    <row r="796" customFormat="false" ht="15" hidden="false" customHeight="false" outlineLevel="0" collapsed="false">
      <c r="A796" s="15"/>
      <c r="B796" s="15"/>
      <c r="C796" s="15"/>
      <c r="D796" s="15"/>
      <c r="E796" s="15"/>
      <c r="F796" s="15"/>
      <c r="G796" s="15"/>
      <c r="H796" s="16" t="str">
        <f aca="false">IF(OR(D796="",F796=""),"",IF(D796=F796,"Yes","No"))</f>
        <v/>
      </c>
      <c r="I796" s="15"/>
      <c r="J796" s="15"/>
      <c r="K796" s="15"/>
      <c r="L796" s="15"/>
    </row>
    <row r="797" customFormat="false" ht="15" hidden="false" customHeight="false" outlineLevel="0" collapsed="false">
      <c r="A797" s="15"/>
      <c r="B797" s="15"/>
      <c r="C797" s="15"/>
      <c r="D797" s="15"/>
      <c r="E797" s="15"/>
      <c r="F797" s="15"/>
      <c r="G797" s="15"/>
      <c r="H797" s="16" t="str">
        <f aca="false">IF(OR(D797="",F797=""),"",IF(D797=F797,"Yes","No"))</f>
        <v/>
      </c>
      <c r="I797" s="15"/>
      <c r="J797" s="15"/>
      <c r="K797" s="15"/>
      <c r="L797" s="15"/>
    </row>
    <row r="798" customFormat="false" ht="15" hidden="false" customHeight="false" outlineLevel="0" collapsed="false">
      <c r="A798" s="15"/>
      <c r="B798" s="15"/>
      <c r="C798" s="15"/>
      <c r="D798" s="15"/>
      <c r="E798" s="15"/>
      <c r="F798" s="15"/>
      <c r="G798" s="15"/>
      <c r="H798" s="16" t="str">
        <f aca="false">IF(OR(D798="",F798=""),"",IF(D798=F798,"Yes","No"))</f>
        <v/>
      </c>
      <c r="I798" s="15"/>
      <c r="J798" s="15"/>
      <c r="K798" s="15"/>
      <c r="L798" s="15"/>
    </row>
    <row r="799" customFormat="false" ht="15" hidden="false" customHeight="false" outlineLevel="0" collapsed="false">
      <c r="A799" s="15"/>
      <c r="B799" s="15"/>
      <c r="C799" s="15"/>
      <c r="D799" s="15"/>
      <c r="E799" s="15"/>
      <c r="F799" s="15"/>
      <c r="G799" s="15"/>
      <c r="H799" s="16" t="str">
        <f aca="false">IF(OR(D799="",F799=""),"",IF(D799=F799,"Yes","No"))</f>
        <v/>
      </c>
      <c r="I799" s="15"/>
      <c r="J799" s="15"/>
      <c r="K799" s="15"/>
      <c r="L799" s="15"/>
    </row>
    <row r="800" customFormat="false" ht="15" hidden="false" customHeight="false" outlineLevel="0" collapsed="false">
      <c r="A800" s="15"/>
      <c r="B800" s="15"/>
      <c r="C800" s="15"/>
      <c r="D800" s="15"/>
      <c r="E800" s="15"/>
      <c r="F800" s="15"/>
      <c r="G800" s="15"/>
      <c r="H800" s="16" t="str">
        <f aca="false">IF(OR(D800="",F800=""),"",IF(D800=F800,"Yes","No"))</f>
        <v/>
      </c>
      <c r="I800" s="15"/>
      <c r="J800" s="15"/>
      <c r="K800" s="15"/>
      <c r="L800" s="15"/>
    </row>
    <row r="801" customFormat="false" ht="15" hidden="false" customHeight="false" outlineLevel="0" collapsed="false">
      <c r="A801" s="15"/>
      <c r="B801" s="15"/>
      <c r="C801" s="15"/>
      <c r="D801" s="15"/>
      <c r="E801" s="15"/>
      <c r="F801" s="15"/>
      <c r="G801" s="15"/>
      <c r="H801" s="16" t="str">
        <f aca="false">IF(OR(D801="",F801=""),"",IF(D801=F801,"Yes","No"))</f>
        <v/>
      </c>
      <c r="I801" s="15"/>
      <c r="J801" s="15"/>
      <c r="K801" s="15"/>
      <c r="L801" s="15"/>
    </row>
    <row r="802" customFormat="false" ht="15" hidden="false" customHeight="false" outlineLevel="0" collapsed="false">
      <c r="A802" s="15"/>
      <c r="B802" s="15"/>
      <c r="C802" s="15"/>
      <c r="D802" s="15"/>
      <c r="E802" s="15"/>
      <c r="F802" s="15"/>
      <c r="G802" s="15"/>
      <c r="H802" s="16" t="str">
        <f aca="false">IF(OR(D802="",F802=""),"",IF(D802=F802,"Yes","No"))</f>
        <v/>
      </c>
      <c r="I802" s="15"/>
      <c r="J802" s="15"/>
      <c r="K802" s="15"/>
      <c r="L802" s="15"/>
    </row>
    <row r="803" customFormat="false" ht="15" hidden="false" customHeight="false" outlineLevel="0" collapsed="false">
      <c r="A803" s="15"/>
      <c r="B803" s="15"/>
      <c r="C803" s="15"/>
      <c r="D803" s="15"/>
      <c r="E803" s="15"/>
      <c r="F803" s="15"/>
      <c r="G803" s="15"/>
      <c r="H803" s="16" t="str">
        <f aca="false">IF(OR(D803="",F803=""),"",IF(D803=F803,"Yes","No"))</f>
        <v/>
      </c>
      <c r="I803" s="15"/>
      <c r="J803" s="15"/>
      <c r="K803" s="15"/>
      <c r="L803" s="15"/>
    </row>
    <row r="804" customFormat="false" ht="15" hidden="false" customHeight="false" outlineLevel="0" collapsed="false">
      <c r="A804" s="15"/>
      <c r="B804" s="15"/>
      <c r="C804" s="15"/>
      <c r="D804" s="15"/>
      <c r="E804" s="15"/>
      <c r="F804" s="15"/>
      <c r="G804" s="15"/>
      <c r="H804" s="16" t="str">
        <f aca="false">IF(OR(D804="",F804=""),"",IF(D804=F804,"Yes","No"))</f>
        <v/>
      </c>
      <c r="I804" s="15"/>
      <c r="J804" s="15"/>
      <c r="K804" s="15"/>
      <c r="L804" s="15"/>
    </row>
    <row r="805" customFormat="false" ht="15" hidden="false" customHeight="false" outlineLevel="0" collapsed="false">
      <c r="A805" s="15"/>
      <c r="B805" s="15"/>
      <c r="C805" s="15"/>
      <c r="D805" s="15"/>
      <c r="E805" s="15"/>
      <c r="F805" s="15"/>
      <c r="G805" s="15"/>
      <c r="H805" s="16" t="str">
        <f aca="false">IF(OR(D805="",F805=""),"",IF(D805=F805,"Yes","No"))</f>
        <v/>
      </c>
      <c r="I805" s="15"/>
      <c r="J805" s="15"/>
      <c r="K805" s="15"/>
      <c r="L805" s="15"/>
    </row>
    <row r="806" customFormat="false" ht="15" hidden="false" customHeight="false" outlineLevel="0" collapsed="false">
      <c r="A806" s="15"/>
      <c r="B806" s="15"/>
      <c r="C806" s="15"/>
      <c r="D806" s="15"/>
      <c r="E806" s="15"/>
      <c r="F806" s="15"/>
      <c r="G806" s="15"/>
      <c r="H806" s="16" t="str">
        <f aca="false">IF(OR(D806="",F806=""),"",IF(D806=F806,"Yes","No"))</f>
        <v/>
      </c>
      <c r="I806" s="15"/>
      <c r="J806" s="15"/>
      <c r="K806" s="15"/>
      <c r="L806" s="15"/>
    </row>
    <row r="807" customFormat="false" ht="15" hidden="false" customHeight="false" outlineLevel="0" collapsed="false">
      <c r="A807" s="15"/>
      <c r="B807" s="15"/>
      <c r="C807" s="15"/>
      <c r="D807" s="15"/>
      <c r="E807" s="15"/>
      <c r="F807" s="15"/>
      <c r="G807" s="15"/>
      <c r="H807" s="16" t="str">
        <f aca="false">IF(OR(D807="",F807=""),"",IF(D807=F807,"Yes","No"))</f>
        <v/>
      </c>
      <c r="I807" s="15"/>
      <c r="J807" s="15"/>
      <c r="K807" s="15"/>
      <c r="L807" s="15"/>
    </row>
    <row r="808" customFormat="false" ht="15" hidden="false" customHeight="false" outlineLevel="0" collapsed="false">
      <c r="A808" s="15"/>
      <c r="B808" s="15"/>
      <c r="C808" s="15"/>
      <c r="D808" s="15"/>
      <c r="E808" s="15"/>
      <c r="F808" s="15"/>
      <c r="G808" s="15"/>
      <c r="H808" s="16" t="str">
        <f aca="false">IF(OR(D808="",F808=""),"",IF(D808=F808,"Yes","No"))</f>
        <v/>
      </c>
      <c r="I808" s="15"/>
      <c r="J808" s="15"/>
      <c r="K808" s="15"/>
      <c r="L808" s="15"/>
    </row>
    <row r="809" customFormat="false" ht="15" hidden="false" customHeight="false" outlineLevel="0" collapsed="false">
      <c r="A809" s="15"/>
      <c r="B809" s="15"/>
      <c r="C809" s="15"/>
      <c r="D809" s="15"/>
      <c r="E809" s="15"/>
      <c r="F809" s="15"/>
      <c r="G809" s="15"/>
      <c r="H809" s="16" t="str">
        <f aca="false">IF(OR(D809="",F809=""),"",IF(D809=F809,"Yes","No"))</f>
        <v/>
      </c>
      <c r="I809" s="15"/>
      <c r="J809" s="15"/>
      <c r="K809" s="15"/>
      <c r="L809" s="15"/>
    </row>
    <row r="810" customFormat="false" ht="15" hidden="false" customHeight="false" outlineLevel="0" collapsed="false">
      <c r="A810" s="15"/>
      <c r="B810" s="15"/>
      <c r="C810" s="15"/>
      <c r="D810" s="15"/>
      <c r="E810" s="15"/>
      <c r="F810" s="15"/>
      <c r="G810" s="15"/>
      <c r="H810" s="16" t="str">
        <f aca="false">IF(OR(D810="",F810=""),"",IF(D810=F810,"Yes","No"))</f>
        <v/>
      </c>
      <c r="I810" s="15"/>
      <c r="J810" s="15"/>
      <c r="K810" s="15"/>
      <c r="L810" s="15"/>
    </row>
    <row r="811" customFormat="false" ht="15" hidden="false" customHeight="false" outlineLevel="0" collapsed="false">
      <c r="A811" s="15"/>
      <c r="B811" s="15"/>
      <c r="C811" s="15"/>
      <c r="D811" s="15"/>
      <c r="E811" s="15"/>
      <c r="F811" s="15"/>
      <c r="G811" s="15"/>
      <c r="H811" s="16" t="str">
        <f aca="false">IF(OR(D811="",F811=""),"",IF(D811=F811,"Yes","No"))</f>
        <v/>
      </c>
      <c r="I811" s="15"/>
      <c r="J811" s="15"/>
      <c r="K811" s="15"/>
      <c r="L811" s="15"/>
    </row>
    <row r="812" customFormat="false" ht="15" hidden="false" customHeight="false" outlineLevel="0" collapsed="false">
      <c r="A812" s="15"/>
      <c r="B812" s="15"/>
      <c r="C812" s="15"/>
      <c r="D812" s="15"/>
      <c r="E812" s="15"/>
      <c r="F812" s="15"/>
      <c r="G812" s="15"/>
      <c r="H812" s="16" t="str">
        <f aca="false">IF(OR(D812="",F812=""),"",IF(D812=F812,"Yes","No"))</f>
        <v/>
      </c>
      <c r="I812" s="15"/>
      <c r="J812" s="15"/>
      <c r="K812" s="15"/>
      <c r="L812" s="15"/>
    </row>
    <row r="813" customFormat="false" ht="15" hidden="false" customHeight="false" outlineLevel="0" collapsed="false">
      <c r="A813" s="15"/>
      <c r="B813" s="15"/>
      <c r="C813" s="15"/>
      <c r="D813" s="15"/>
      <c r="E813" s="15"/>
      <c r="F813" s="15"/>
      <c r="G813" s="15"/>
      <c r="H813" s="16" t="str">
        <f aca="false">IF(OR(D813="",F813=""),"",IF(D813=F813,"Yes","No"))</f>
        <v/>
      </c>
      <c r="I813" s="15"/>
      <c r="J813" s="15"/>
      <c r="K813" s="15"/>
      <c r="L813" s="15"/>
    </row>
    <row r="814" customFormat="false" ht="15" hidden="false" customHeight="false" outlineLevel="0" collapsed="false">
      <c r="A814" s="15"/>
      <c r="B814" s="15"/>
      <c r="C814" s="15"/>
      <c r="D814" s="15"/>
      <c r="E814" s="15"/>
      <c r="F814" s="15"/>
      <c r="G814" s="15"/>
      <c r="H814" s="16" t="str">
        <f aca="false">IF(OR(D814="",F814=""),"",IF(D814=F814,"Yes","No"))</f>
        <v/>
      </c>
      <c r="I814" s="15"/>
      <c r="J814" s="15"/>
      <c r="K814" s="15"/>
      <c r="L814" s="15"/>
    </row>
    <row r="815" customFormat="false" ht="15" hidden="false" customHeight="false" outlineLevel="0" collapsed="false">
      <c r="A815" s="15"/>
      <c r="B815" s="15"/>
      <c r="C815" s="15"/>
      <c r="D815" s="15"/>
      <c r="E815" s="15"/>
      <c r="F815" s="15"/>
      <c r="G815" s="15"/>
      <c r="H815" s="16" t="str">
        <f aca="false">IF(OR(D815="",F815=""),"",IF(D815=F815,"Yes","No"))</f>
        <v/>
      </c>
      <c r="I815" s="15"/>
      <c r="J815" s="15"/>
      <c r="K815" s="15"/>
      <c r="L815" s="15"/>
    </row>
    <row r="816" customFormat="false" ht="15" hidden="false" customHeight="false" outlineLevel="0" collapsed="false">
      <c r="A816" s="15"/>
      <c r="B816" s="15"/>
      <c r="C816" s="15"/>
      <c r="D816" s="15"/>
      <c r="E816" s="15"/>
      <c r="F816" s="15"/>
      <c r="G816" s="15"/>
      <c r="H816" s="16" t="str">
        <f aca="false">IF(OR(D816="",F816=""),"",IF(D816=F816,"Yes","No"))</f>
        <v/>
      </c>
      <c r="I816" s="15"/>
      <c r="J816" s="15"/>
      <c r="K816" s="15"/>
      <c r="L816" s="15"/>
    </row>
    <row r="817" customFormat="false" ht="15" hidden="false" customHeight="false" outlineLevel="0" collapsed="false">
      <c r="A817" s="15"/>
      <c r="B817" s="15"/>
      <c r="C817" s="15"/>
      <c r="D817" s="15"/>
      <c r="E817" s="15"/>
      <c r="F817" s="15"/>
      <c r="G817" s="15"/>
      <c r="H817" s="16" t="str">
        <f aca="false">IF(OR(D817="",F817=""),"",IF(D817=F817,"Yes","No"))</f>
        <v/>
      </c>
      <c r="I817" s="15"/>
      <c r="J817" s="15"/>
      <c r="K817" s="15"/>
      <c r="L817" s="15"/>
    </row>
    <row r="818" customFormat="false" ht="15" hidden="false" customHeight="false" outlineLevel="0" collapsed="false">
      <c r="A818" s="15"/>
      <c r="B818" s="15"/>
      <c r="C818" s="15"/>
      <c r="D818" s="15"/>
      <c r="E818" s="15"/>
      <c r="F818" s="15"/>
      <c r="G818" s="15"/>
      <c r="H818" s="16" t="str">
        <f aca="false">IF(OR(D818="",F818=""),"",IF(D818=F818,"Yes","No"))</f>
        <v/>
      </c>
      <c r="I818" s="15"/>
      <c r="J818" s="15"/>
      <c r="K818" s="15"/>
      <c r="L818" s="15"/>
    </row>
    <row r="819" customFormat="false" ht="15" hidden="false" customHeight="false" outlineLevel="0" collapsed="false">
      <c r="A819" s="15"/>
      <c r="B819" s="15"/>
      <c r="C819" s="15"/>
      <c r="D819" s="15"/>
      <c r="E819" s="15"/>
      <c r="F819" s="15"/>
      <c r="G819" s="15"/>
      <c r="H819" s="16" t="str">
        <f aca="false">IF(OR(D819="",F819=""),"",IF(D819=F819,"Yes","No"))</f>
        <v/>
      </c>
      <c r="I819" s="15"/>
      <c r="J819" s="15"/>
      <c r="K819" s="15"/>
      <c r="L819" s="15"/>
    </row>
    <row r="820" customFormat="false" ht="15" hidden="false" customHeight="false" outlineLevel="0" collapsed="false">
      <c r="A820" s="15"/>
      <c r="B820" s="15"/>
      <c r="C820" s="15"/>
      <c r="D820" s="15"/>
      <c r="E820" s="15"/>
      <c r="F820" s="15"/>
      <c r="G820" s="15"/>
      <c r="H820" s="16" t="str">
        <f aca="false">IF(OR(D820="",F820=""),"",IF(D820=F820,"Yes","No"))</f>
        <v/>
      </c>
      <c r="I820" s="15"/>
      <c r="J820" s="15"/>
      <c r="K820" s="15"/>
      <c r="L820" s="15"/>
    </row>
    <row r="821" customFormat="false" ht="15" hidden="false" customHeight="false" outlineLevel="0" collapsed="false">
      <c r="A821" s="15"/>
      <c r="B821" s="15"/>
      <c r="C821" s="15"/>
      <c r="D821" s="15"/>
      <c r="E821" s="15"/>
      <c r="F821" s="15"/>
      <c r="G821" s="15"/>
      <c r="H821" s="16" t="str">
        <f aca="false">IF(OR(D821="",F821=""),"",IF(D821=F821,"Yes","No"))</f>
        <v/>
      </c>
      <c r="I821" s="15"/>
      <c r="J821" s="15"/>
      <c r="K821" s="15"/>
      <c r="L821" s="15"/>
    </row>
    <row r="822" customFormat="false" ht="15" hidden="false" customHeight="false" outlineLevel="0" collapsed="false">
      <c r="A822" s="15"/>
      <c r="B822" s="15"/>
      <c r="C822" s="15"/>
      <c r="D822" s="15"/>
      <c r="E822" s="15"/>
      <c r="F822" s="15"/>
      <c r="G822" s="15"/>
      <c r="H822" s="16" t="str">
        <f aca="false">IF(OR(D822="",F822=""),"",IF(D822=F822,"Yes","No"))</f>
        <v/>
      </c>
      <c r="I822" s="15"/>
      <c r="J822" s="15"/>
      <c r="K822" s="15"/>
      <c r="L822" s="15"/>
    </row>
    <row r="823" customFormat="false" ht="15" hidden="false" customHeight="false" outlineLevel="0" collapsed="false">
      <c r="A823" s="15"/>
      <c r="B823" s="15"/>
      <c r="C823" s="15"/>
      <c r="D823" s="15"/>
      <c r="E823" s="15"/>
      <c r="F823" s="15"/>
      <c r="G823" s="15"/>
      <c r="H823" s="16" t="str">
        <f aca="false">IF(OR(D823="",F823=""),"",IF(D823=F823,"Yes","No"))</f>
        <v/>
      </c>
      <c r="I823" s="15"/>
      <c r="J823" s="15"/>
      <c r="K823" s="15"/>
      <c r="L823" s="15"/>
    </row>
    <row r="824" customFormat="false" ht="15" hidden="false" customHeight="false" outlineLevel="0" collapsed="false">
      <c r="A824" s="15"/>
      <c r="B824" s="15"/>
      <c r="C824" s="15"/>
      <c r="D824" s="15"/>
      <c r="E824" s="15"/>
      <c r="F824" s="15"/>
      <c r="G824" s="15"/>
      <c r="H824" s="16" t="str">
        <f aca="false">IF(OR(D824="",F824=""),"",IF(D824=F824,"Yes","No"))</f>
        <v/>
      </c>
      <c r="I824" s="15"/>
      <c r="J824" s="15"/>
      <c r="K824" s="15"/>
      <c r="L824" s="15"/>
    </row>
    <row r="825" customFormat="false" ht="15" hidden="false" customHeight="false" outlineLevel="0" collapsed="false">
      <c r="A825" s="15"/>
      <c r="B825" s="15"/>
      <c r="C825" s="15"/>
      <c r="D825" s="15"/>
      <c r="E825" s="15"/>
      <c r="F825" s="15"/>
      <c r="G825" s="15"/>
      <c r="H825" s="16" t="str">
        <f aca="false">IF(OR(D825="",F825=""),"",IF(D825=F825,"Yes","No"))</f>
        <v/>
      </c>
      <c r="I825" s="15"/>
      <c r="J825" s="15"/>
      <c r="K825" s="15"/>
      <c r="L825" s="15"/>
    </row>
    <row r="826" customFormat="false" ht="15" hidden="false" customHeight="false" outlineLevel="0" collapsed="false">
      <c r="A826" s="15"/>
      <c r="B826" s="15"/>
      <c r="C826" s="15"/>
      <c r="D826" s="15"/>
      <c r="E826" s="15"/>
      <c r="F826" s="15"/>
      <c r="G826" s="15"/>
      <c r="H826" s="16" t="str">
        <f aca="false">IF(OR(D826="",F826=""),"",IF(D826=F826,"Yes","No"))</f>
        <v/>
      </c>
      <c r="I826" s="15"/>
      <c r="J826" s="15"/>
      <c r="K826" s="15"/>
      <c r="L826" s="15"/>
    </row>
    <row r="827" customFormat="false" ht="15" hidden="false" customHeight="false" outlineLevel="0" collapsed="false">
      <c r="A827" s="15"/>
      <c r="B827" s="15"/>
      <c r="C827" s="15"/>
      <c r="D827" s="15"/>
      <c r="E827" s="15"/>
      <c r="F827" s="15"/>
      <c r="G827" s="15"/>
      <c r="H827" s="16" t="str">
        <f aca="false">IF(OR(D827="",F827=""),"",IF(D827=F827,"Yes","No"))</f>
        <v/>
      </c>
      <c r="I827" s="15"/>
      <c r="J827" s="15"/>
      <c r="K827" s="15"/>
      <c r="L827" s="15"/>
    </row>
    <row r="828" customFormat="false" ht="15" hidden="false" customHeight="false" outlineLevel="0" collapsed="false">
      <c r="A828" s="15"/>
      <c r="B828" s="15"/>
      <c r="C828" s="15"/>
      <c r="D828" s="15"/>
      <c r="E828" s="15"/>
      <c r="F828" s="15"/>
      <c r="G828" s="15"/>
      <c r="H828" s="16" t="str">
        <f aca="false">IF(OR(D828="",F828=""),"",IF(D828=F828,"Yes","No"))</f>
        <v/>
      </c>
      <c r="I828" s="15"/>
      <c r="J828" s="15"/>
      <c r="K828" s="15"/>
      <c r="L828" s="15"/>
    </row>
    <row r="829" customFormat="false" ht="15" hidden="false" customHeight="false" outlineLevel="0" collapsed="false">
      <c r="A829" s="15"/>
      <c r="B829" s="15"/>
      <c r="C829" s="15"/>
      <c r="D829" s="15"/>
      <c r="E829" s="15"/>
      <c r="F829" s="15"/>
      <c r="G829" s="15"/>
      <c r="H829" s="16" t="str">
        <f aca="false">IF(OR(D829="",F829=""),"",IF(D829=F829,"Yes","No"))</f>
        <v/>
      </c>
      <c r="I829" s="15"/>
      <c r="J829" s="15"/>
      <c r="K829" s="15"/>
      <c r="L829" s="15"/>
    </row>
    <row r="830" customFormat="false" ht="15" hidden="false" customHeight="false" outlineLevel="0" collapsed="false">
      <c r="A830" s="15"/>
      <c r="B830" s="15"/>
      <c r="C830" s="15"/>
      <c r="D830" s="15"/>
      <c r="E830" s="15"/>
      <c r="F830" s="15"/>
      <c r="G830" s="15"/>
      <c r="H830" s="16" t="str">
        <f aca="false">IF(OR(D830="",F830=""),"",IF(D830=F830,"Yes","No"))</f>
        <v/>
      </c>
      <c r="I830" s="15"/>
      <c r="J830" s="15"/>
      <c r="K830" s="15"/>
      <c r="L830" s="15"/>
    </row>
    <row r="831" customFormat="false" ht="15" hidden="false" customHeight="false" outlineLevel="0" collapsed="false">
      <c r="A831" s="15"/>
      <c r="B831" s="15"/>
      <c r="C831" s="15"/>
      <c r="D831" s="15"/>
      <c r="E831" s="15"/>
      <c r="F831" s="15"/>
      <c r="G831" s="15"/>
      <c r="H831" s="16" t="str">
        <f aca="false">IF(OR(D831="",F831=""),"",IF(D831=F831,"Yes","No"))</f>
        <v/>
      </c>
      <c r="I831" s="15"/>
      <c r="J831" s="15"/>
      <c r="K831" s="15"/>
      <c r="L831" s="15"/>
    </row>
    <row r="832" customFormat="false" ht="15" hidden="false" customHeight="false" outlineLevel="0" collapsed="false">
      <c r="A832" s="15"/>
      <c r="B832" s="15"/>
      <c r="C832" s="15"/>
      <c r="D832" s="15"/>
      <c r="E832" s="15"/>
      <c r="F832" s="15"/>
      <c r="G832" s="15"/>
      <c r="H832" s="16" t="str">
        <f aca="false">IF(OR(D832="",F832=""),"",IF(D832=F832,"Yes","No"))</f>
        <v/>
      </c>
      <c r="I832" s="15"/>
      <c r="J832" s="15"/>
      <c r="K832" s="15"/>
      <c r="L832" s="15"/>
    </row>
    <row r="833" customFormat="false" ht="15" hidden="false" customHeight="false" outlineLevel="0" collapsed="false">
      <c r="A833" s="15"/>
      <c r="B833" s="15"/>
      <c r="C833" s="15"/>
      <c r="D833" s="15"/>
      <c r="E833" s="15"/>
      <c r="F833" s="15"/>
      <c r="G833" s="15"/>
      <c r="H833" s="16" t="str">
        <f aca="false">IF(OR(D833="",F833=""),"",IF(D833=F833,"Yes","No"))</f>
        <v/>
      </c>
      <c r="I833" s="15"/>
      <c r="J833" s="15"/>
      <c r="K833" s="15"/>
      <c r="L833" s="15"/>
    </row>
    <row r="834" customFormat="false" ht="15" hidden="false" customHeight="false" outlineLevel="0" collapsed="false">
      <c r="A834" s="15"/>
      <c r="B834" s="15"/>
      <c r="C834" s="15"/>
      <c r="D834" s="15"/>
      <c r="E834" s="15"/>
      <c r="F834" s="15"/>
      <c r="G834" s="15"/>
      <c r="H834" s="16" t="str">
        <f aca="false">IF(OR(D834="",F834=""),"",IF(D834=F834,"Yes","No"))</f>
        <v/>
      </c>
      <c r="I834" s="15"/>
      <c r="J834" s="15"/>
      <c r="K834" s="15"/>
      <c r="L834" s="15"/>
    </row>
    <row r="835" customFormat="false" ht="15" hidden="false" customHeight="false" outlineLevel="0" collapsed="false">
      <c r="A835" s="15"/>
      <c r="B835" s="15"/>
      <c r="C835" s="15"/>
      <c r="D835" s="15"/>
      <c r="E835" s="15"/>
      <c r="F835" s="15"/>
      <c r="G835" s="15"/>
      <c r="H835" s="16" t="str">
        <f aca="false">IF(OR(D835="",F835=""),"",IF(D835=F835,"Yes","No"))</f>
        <v/>
      </c>
      <c r="I835" s="15"/>
      <c r="J835" s="15"/>
      <c r="K835" s="15"/>
      <c r="L835" s="15"/>
    </row>
    <row r="836" customFormat="false" ht="15" hidden="false" customHeight="false" outlineLevel="0" collapsed="false">
      <c r="A836" s="15"/>
      <c r="B836" s="15"/>
      <c r="C836" s="15"/>
      <c r="D836" s="15"/>
      <c r="E836" s="15"/>
      <c r="F836" s="15"/>
      <c r="G836" s="15"/>
      <c r="H836" s="16" t="str">
        <f aca="false">IF(OR(D836="",F836=""),"",IF(D836=F836,"Yes","No"))</f>
        <v/>
      </c>
      <c r="I836" s="15"/>
      <c r="J836" s="15"/>
      <c r="K836" s="15"/>
      <c r="L836" s="15"/>
    </row>
    <row r="837" customFormat="false" ht="15" hidden="false" customHeight="false" outlineLevel="0" collapsed="false">
      <c r="A837" s="15"/>
      <c r="B837" s="15"/>
      <c r="C837" s="15"/>
      <c r="D837" s="15"/>
      <c r="E837" s="15"/>
      <c r="F837" s="15"/>
      <c r="G837" s="15"/>
      <c r="H837" s="16" t="str">
        <f aca="false">IF(OR(D837="",F837=""),"",IF(D837=F837,"Yes","No"))</f>
        <v/>
      </c>
      <c r="I837" s="15"/>
      <c r="J837" s="15"/>
      <c r="K837" s="15"/>
      <c r="L837" s="15"/>
    </row>
    <row r="838" customFormat="false" ht="15" hidden="false" customHeight="false" outlineLevel="0" collapsed="false">
      <c r="A838" s="15"/>
      <c r="B838" s="15"/>
      <c r="C838" s="15"/>
      <c r="D838" s="15"/>
      <c r="E838" s="15"/>
      <c r="F838" s="15"/>
      <c r="G838" s="15"/>
      <c r="H838" s="16" t="str">
        <f aca="false">IF(OR(D838="",F838=""),"",IF(D838=F838,"Yes","No"))</f>
        <v/>
      </c>
      <c r="I838" s="15"/>
      <c r="J838" s="15"/>
      <c r="K838" s="15"/>
      <c r="L838" s="15"/>
    </row>
    <row r="839" customFormat="false" ht="15" hidden="false" customHeight="false" outlineLevel="0" collapsed="false">
      <c r="A839" s="15"/>
      <c r="B839" s="15"/>
      <c r="C839" s="15"/>
      <c r="D839" s="15"/>
      <c r="E839" s="15"/>
      <c r="F839" s="15"/>
      <c r="G839" s="15"/>
      <c r="H839" s="16" t="str">
        <f aca="false">IF(OR(D839="",F839=""),"",IF(D839=F839,"Yes","No"))</f>
        <v/>
      </c>
      <c r="I839" s="15"/>
      <c r="J839" s="15"/>
      <c r="K839" s="15"/>
      <c r="L839" s="15"/>
    </row>
    <row r="840" customFormat="false" ht="15" hidden="false" customHeight="false" outlineLevel="0" collapsed="false">
      <c r="A840" s="15"/>
      <c r="B840" s="15"/>
      <c r="C840" s="15"/>
      <c r="D840" s="15"/>
      <c r="E840" s="15"/>
      <c r="F840" s="15"/>
      <c r="G840" s="15"/>
      <c r="H840" s="16" t="str">
        <f aca="false">IF(OR(D840="",F840=""),"",IF(D840=F840,"Yes","No"))</f>
        <v/>
      </c>
      <c r="I840" s="15"/>
      <c r="J840" s="15"/>
      <c r="K840" s="15"/>
      <c r="L840" s="15"/>
    </row>
    <row r="841" customFormat="false" ht="15" hidden="false" customHeight="false" outlineLevel="0" collapsed="false">
      <c r="A841" s="15"/>
      <c r="B841" s="15"/>
      <c r="C841" s="15"/>
      <c r="D841" s="15"/>
      <c r="E841" s="15"/>
      <c r="F841" s="15"/>
      <c r="G841" s="15"/>
      <c r="H841" s="16" t="str">
        <f aca="false">IF(OR(D841="",F841=""),"",IF(D841=F841,"Yes","No"))</f>
        <v/>
      </c>
      <c r="I841" s="15"/>
      <c r="J841" s="15"/>
      <c r="K841" s="15"/>
      <c r="L841" s="15"/>
    </row>
    <row r="842" customFormat="false" ht="15" hidden="false" customHeight="false" outlineLevel="0" collapsed="false">
      <c r="A842" s="15"/>
      <c r="B842" s="15"/>
      <c r="C842" s="15"/>
      <c r="D842" s="15"/>
      <c r="E842" s="15"/>
      <c r="F842" s="15"/>
      <c r="G842" s="15"/>
      <c r="H842" s="16" t="str">
        <f aca="false">IF(OR(D842="",F842=""),"",IF(D842=F842,"Yes","No"))</f>
        <v/>
      </c>
      <c r="I842" s="15"/>
      <c r="J842" s="15"/>
      <c r="K842" s="15"/>
      <c r="L842" s="15"/>
    </row>
    <row r="843" customFormat="false" ht="15" hidden="false" customHeight="false" outlineLevel="0" collapsed="false">
      <c r="A843" s="15"/>
      <c r="B843" s="15"/>
      <c r="C843" s="15"/>
      <c r="D843" s="15"/>
      <c r="E843" s="15"/>
      <c r="F843" s="15"/>
      <c r="G843" s="15"/>
      <c r="H843" s="16" t="str">
        <f aca="false">IF(OR(D843="",F843=""),"",IF(D843=F843,"Yes","No"))</f>
        <v/>
      </c>
      <c r="I843" s="15"/>
      <c r="J843" s="15"/>
      <c r="K843" s="15"/>
      <c r="L843" s="15"/>
    </row>
    <row r="844" customFormat="false" ht="15" hidden="false" customHeight="false" outlineLevel="0" collapsed="false">
      <c r="A844" s="15"/>
      <c r="B844" s="15"/>
      <c r="C844" s="15"/>
      <c r="D844" s="15"/>
      <c r="E844" s="15"/>
      <c r="F844" s="15"/>
      <c r="G844" s="15"/>
      <c r="H844" s="16" t="str">
        <f aca="false">IF(OR(D844="",F844=""),"",IF(D844=F844,"Yes","No"))</f>
        <v/>
      </c>
      <c r="I844" s="15"/>
      <c r="J844" s="15"/>
      <c r="K844" s="15"/>
      <c r="L844" s="15"/>
    </row>
    <row r="845" customFormat="false" ht="15" hidden="false" customHeight="false" outlineLevel="0" collapsed="false">
      <c r="A845" s="15"/>
      <c r="B845" s="15"/>
      <c r="C845" s="15"/>
      <c r="D845" s="15"/>
      <c r="E845" s="15"/>
      <c r="F845" s="15"/>
      <c r="G845" s="15"/>
      <c r="H845" s="16" t="str">
        <f aca="false">IF(OR(D845="",F845=""),"",IF(D845=F845,"Yes","No"))</f>
        <v/>
      </c>
      <c r="I845" s="15"/>
      <c r="J845" s="15"/>
      <c r="K845" s="15"/>
      <c r="L845" s="15"/>
    </row>
    <row r="846" customFormat="false" ht="15" hidden="false" customHeight="false" outlineLevel="0" collapsed="false">
      <c r="A846" s="15"/>
      <c r="B846" s="15"/>
      <c r="C846" s="15"/>
      <c r="D846" s="15"/>
      <c r="E846" s="15"/>
      <c r="F846" s="15"/>
      <c r="G846" s="15"/>
      <c r="H846" s="16" t="str">
        <f aca="false">IF(OR(D846="",F846=""),"",IF(D846=F846,"Yes","No"))</f>
        <v/>
      </c>
      <c r="I846" s="15"/>
      <c r="J846" s="15"/>
      <c r="K846" s="15"/>
      <c r="L846" s="15"/>
    </row>
    <row r="847" customFormat="false" ht="15" hidden="false" customHeight="false" outlineLevel="0" collapsed="false">
      <c r="A847" s="15"/>
      <c r="B847" s="15"/>
      <c r="C847" s="15"/>
      <c r="D847" s="15"/>
      <c r="E847" s="15"/>
      <c r="F847" s="15"/>
      <c r="G847" s="15"/>
      <c r="H847" s="16" t="str">
        <f aca="false">IF(OR(D847="",F847=""),"",IF(D847=F847,"Yes","No"))</f>
        <v/>
      </c>
      <c r="I847" s="15"/>
      <c r="J847" s="15"/>
      <c r="K847" s="15"/>
      <c r="L847" s="15"/>
    </row>
    <row r="848" customFormat="false" ht="15" hidden="false" customHeight="false" outlineLevel="0" collapsed="false">
      <c r="A848" s="15"/>
      <c r="B848" s="15"/>
      <c r="C848" s="15"/>
      <c r="D848" s="15"/>
      <c r="E848" s="15"/>
      <c r="F848" s="15"/>
      <c r="G848" s="15"/>
      <c r="H848" s="16" t="str">
        <f aca="false">IF(OR(D848="",F848=""),"",IF(D848=F848,"Yes","No"))</f>
        <v/>
      </c>
      <c r="I848" s="15"/>
      <c r="J848" s="15"/>
      <c r="K848" s="15"/>
      <c r="L848" s="15"/>
    </row>
    <row r="849" customFormat="false" ht="15" hidden="false" customHeight="false" outlineLevel="0" collapsed="false">
      <c r="A849" s="15"/>
      <c r="B849" s="15"/>
      <c r="C849" s="15"/>
      <c r="D849" s="15"/>
      <c r="E849" s="15"/>
      <c r="F849" s="15"/>
      <c r="G849" s="15"/>
      <c r="H849" s="16" t="str">
        <f aca="false">IF(OR(D849="",F849=""),"",IF(D849=F849,"Yes","No"))</f>
        <v/>
      </c>
      <c r="I849" s="15"/>
      <c r="J849" s="15"/>
      <c r="K849" s="15"/>
      <c r="L849" s="15"/>
    </row>
    <row r="850" customFormat="false" ht="15" hidden="false" customHeight="false" outlineLevel="0" collapsed="false">
      <c r="A850" s="15"/>
      <c r="B850" s="15"/>
      <c r="C850" s="15"/>
      <c r="D850" s="15"/>
      <c r="E850" s="15"/>
      <c r="F850" s="15"/>
      <c r="G850" s="15"/>
      <c r="H850" s="16" t="str">
        <f aca="false">IF(OR(D850="",F850=""),"",IF(D850=F850,"Yes","No"))</f>
        <v/>
      </c>
      <c r="I850" s="15"/>
      <c r="J850" s="15"/>
      <c r="K850" s="15"/>
      <c r="L850" s="15"/>
    </row>
    <row r="851" customFormat="false" ht="15" hidden="false" customHeight="false" outlineLevel="0" collapsed="false">
      <c r="A851" s="15"/>
      <c r="B851" s="15"/>
      <c r="C851" s="15"/>
      <c r="D851" s="15"/>
      <c r="E851" s="15"/>
      <c r="F851" s="15"/>
      <c r="G851" s="15"/>
      <c r="H851" s="16" t="str">
        <f aca="false">IF(OR(D851="",F851=""),"",IF(D851=F851,"Yes","No"))</f>
        <v/>
      </c>
      <c r="I851" s="15"/>
      <c r="J851" s="15"/>
      <c r="K851" s="15"/>
      <c r="L851" s="15"/>
    </row>
    <row r="852" customFormat="false" ht="15" hidden="false" customHeight="false" outlineLevel="0" collapsed="false">
      <c r="A852" s="15"/>
      <c r="B852" s="15"/>
      <c r="C852" s="15"/>
      <c r="D852" s="15"/>
      <c r="E852" s="15"/>
      <c r="F852" s="15"/>
      <c r="G852" s="15"/>
      <c r="H852" s="16" t="str">
        <f aca="false">IF(OR(D852="",F852=""),"",IF(D852=F852,"Yes","No"))</f>
        <v/>
      </c>
      <c r="I852" s="15"/>
      <c r="J852" s="15"/>
      <c r="K852" s="15"/>
      <c r="L852" s="15"/>
    </row>
    <row r="853" customFormat="false" ht="15" hidden="false" customHeight="false" outlineLevel="0" collapsed="false">
      <c r="A853" s="15"/>
      <c r="B853" s="15"/>
      <c r="C853" s="15"/>
      <c r="D853" s="15"/>
      <c r="E853" s="15"/>
      <c r="F853" s="15"/>
      <c r="G853" s="15"/>
      <c r="H853" s="16" t="str">
        <f aca="false">IF(OR(D853="",F853=""),"",IF(D853=F853,"Yes","No"))</f>
        <v/>
      </c>
      <c r="I853" s="15"/>
      <c r="J853" s="15"/>
      <c r="K853" s="15"/>
      <c r="L853" s="15"/>
    </row>
    <row r="854" customFormat="false" ht="15" hidden="false" customHeight="false" outlineLevel="0" collapsed="false">
      <c r="A854" s="15"/>
      <c r="B854" s="15"/>
      <c r="C854" s="15"/>
      <c r="D854" s="15"/>
      <c r="E854" s="15"/>
      <c r="F854" s="15"/>
      <c r="G854" s="15"/>
      <c r="H854" s="16" t="str">
        <f aca="false">IF(OR(D854="",F854=""),"",IF(D854=F854,"Yes","No"))</f>
        <v/>
      </c>
      <c r="I854" s="15"/>
      <c r="J854" s="15"/>
      <c r="K854" s="15"/>
      <c r="L854" s="15"/>
    </row>
    <row r="855" customFormat="false" ht="15" hidden="false" customHeight="false" outlineLevel="0" collapsed="false">
      <c r="A855" s="15"/>
      <c r="B855" s="15"/>
      <c r="C855" s="15"/>
      <c r="D855" s="15"/>
      <c r="E855" s="15"/>
      <c r="F855" s="15"/>
      <c r="G855" s="15"/>
      <c r="H855" s="16" t="str">
        <f aca="false">IF(OR(D855="",F855=""),"",IF(D855=F855,"Yes","No"))</f>
        <v/>
      </c>
      <c r="I855" s="15"/>
      <c r="J855" s="15"/>
      <c r="K855" s="15"/>
      <c r="L855" s="15"/>
    </row>
    <row r="856" customFormat="false" ht="15" hidden="false" customHeight="false" outlineLevel="0" collapsed="false">
      <c r="A856" s="15"/>
      <c r="B856" s="15"/>
      <c r="C856" s="15"/>
      <c r="D856" s="15"/>
      <c r="E856" s="15"/>
      <c r="F856" s="15"/>
      <c r="G856" s="15"/>
      <c r="H856" s="16" t="str">
        <f aca="false">IF(OR(D856="",F856=""),"",IF(D856=F856,"Yes","No"))</f>
        <v/>
      </c>
      <c r="I856" s="15"/>
      <c r="J856" s="15"/>
      <c r="K856" s="15"/>
      <c r="L856" s="15"/>
    </row>
    <row r="857" customFormat="false" ht="15" hidden="false" customHeight="false" outlineLevel="0" collapsed="false">
      <c r="A857" s="15"/>
      <c r="B857" s="15"/>
      <c r="C857" s="15"/>
      <c r="D857" s="15"/>
      <c r="E857" s="15"/>
      <c r="F857" s="15"/>
      <c r="G857" s="15"/>
      <c r="H857" s="16" t="str">
        <f aca="false">IF(OR(D857="",F857=""),"",IF(D857=F857,"Yes","No"))</f>
        <v/>
      </c>
      <c r="I857" s="15"/>
      <c r="J857" s="15"/>
      <c r="K857" s="15"/>
      <c r="L857" s="15"/>
    </row>
    <row r="858" customFormat="false" ht="15" hidden="false" customHeight="false" outlineLevel="0" collapsed="false">
      <c r="A858" s="15"/>
      <c r="B858" s="15"/>
      <c r="C858" s="15"/>
      <c r="D858" s="15"/>
      <c r="E858" s="15"/>
      <c r="F858" s="15"/>
      <c r="G858" s="15"/>
      <c r="H858" s="16" t="str">
        <f aca="false">IF(OR(D858="",F858=""),"",IF(D858=F858,"Yes","No"))</f>
        <v/>
      </c>
      <c r="I858" s="15"/>
      <c r="J858" s="15"/>
      <c r="K858" s="15"/>
      <c r="L858" s="15"/>
    </row>
    <row r="859" customFormat="false" ht="15" hidden="false" customHeight="false" outlineLevel="0" collapsed="false">
      <c r="A859" s="15"/>
      <c r="B859" s="15"/>
      <c r="C859" s="15"/>
      <c r="D859" s="15"/>
      <c r="E859" s="15"/>
      <c r="F859" s="15"/>
      <c r="G859" s="15"/>
      <c r="H859" s="16" t="str">
        <f aca="false">IF(OR(D859="",F859=""),"",IF(D859=F859,"Yes","No"))</f>
        <v/>
      </c>
      <c r="I859" s="15"/>
      <c r="J859" s="15"/>
      <c r="K859" s="15"/>
      <c r="L859" s="15"/>
    </row>
    <row r="860" customFormat="false" ht="15" hidden="false" customHeight="false" outlineLevel="0" collapsed="false">
      <c r="A860" s="15"/>
      <c r="B860" s="15"/>
      <c r="C860" s="15"/>
      <c r="D860" s="15"/>
      <c r="E860" s="15"/>
      <c r="F860" s="15"/>
      <c r="G860" s="15"/>
      <c r="H860" s="16" t="str">
        <f aca="false">IF(OR(D860="",F860=""),"",IF(D860=F860,"Yes","No"))</f>
        <v/>
      </c>
      <c r="I860" s="15"/>
      <c r="J860" s="15"/>
      <c r="K860" s="15"/>
      <c r="L860" s="15"/>
    </row>
    <row r="861" customFormat="false" ht="15" hidden="false" customHeight="false" outlineLevel="0" collapsed="false">
      <c r="A861" s="15"/>
      <c r="B861" s="15"/>
      <c r="C861" s="15"/>
      <c r="D861" s="15"/>
      <c r="E861" s="15"/>
      <c r="F861" s="15"/>
      <c r="G861" s="15"/>
      <c r="H861" s="16" t="str">
        <f aca="false">IF(OR(D861="",F861=""),"",IF(D861=F861,"Yes","No"))</f>
        <v/>
      </c>
      <c r="I861" s="15"/>
      <c r="J861" s="15"/>
      <c r="K861" s="15"/>
      <c r="L861" s="15"/>
    </row>
    <row r="862" customFormat="false" ht="15" hidden="false" customHeight="false" outlineLevel="0" collapsed="false">
      <c r="A862" s="15"/>
      <c r="B862" s="15"/>
      <c r="C862" s="15"/>
      <c r="D862" s="15"/>
      <c r="E862" s="15"/>
      <c r="F862" s="15"/>
      <c r="G862" s="15"/>
      <c r="H862" s="16" t="str">
        <f aca="false">IF(OR(D862="",F862=""),"",IF(D862=F862,"Yes","No"))</f>
        <v/>
      </c>
      <c r="I862" s="15"/>
      <c r="J862" s="15"/>
      <c r="K862" s="15"/>
      <c r="L862" s="15"/>
    </row>
    <row r="863" customFormat="false" ht="15" hidden="false" customHeight="false" outlineLevel="0" collapsed="false">
      <c r="A863" s="15"/>
      <c r="B863" s="15"/>
      <c r="C863" s="15"/>
      <c r="D863" s="15"/>
      <c r="E863" s="15"/>
      <c r="F863" s="15"/>
      <c r="G863" s="15"/>
      <c r="H863" s="16" t="str">
        <f aca="false">IF(OR(D863="",F863=""),"",IF(D863=F863,"Yes","No"))</f>
        <v/>
      </c>
      <c r="I863" s="15"/>
      <c r="J863" s="15"/>
      <c r="K863" s="15"/>
      <c r="L863" s="15"/>
    </row>
    <row r="864" customFormat="false" ht="15" hidden="false" customHeight="false" outlineLevel="0" collapsed="false">
      <c r="A864" s="15"/>
      <c r="B864" s="15"/>
      <c r="C864" s="15"/>
      <c r="D864" s="15"/>
      <c r="E864" s="15"/>
      <c r="F864" s="15"/>
      <c r="G864" s="15"/>
      <c r="H864" s="16" t="str">
        <f aca="false">IF(OR(D864="",F864=""),"",IF(D864=F864,"Yes","No"))</f>
        <v/>
      </c>
      <c r="I864" s="15"/>
      <c r="J864" s="15"/>
      <c r="K864" s="15"/>
      <c r="L864" s="15"/>
    </row>
    <row r="865" customFormat="false" ht="15" hidden="false" customHeight="false" outlineLevel="0" collapsed="false">
      <c r="A865" s="15"/>
      <c r="B865" s="15"/>
      <c r="C865" s="15"/>
      <c r="D865" s="15"/>
      <c r="E865" s="15"/>
      <c r="F865" s="15"/>
      <c r="G865" s="15"/>
      <c r="H865" s="16" t="str">
        <f aca="false">IF(OR(D865="",F865=""),"",IF(D865=F865,"Yes","No"))</f>
        <v/>
      </c>
      <c r="I865" s="15"/>
      <c r="J865" s="15"/>
      <c r="K865" s="15"/>
      <c r="L865" s="15"/>
    </row>
    <row r="866" customFormat="false" ht="15" hidden="false" customHeight="false" outlineLevel="0" collapsed="false">
      <c r="A866" s="15"/>
      <c r="B866" s="15"/>
      <c r="C866" s="15"/>
      <c r="D866" s="15"/>
      <c r="E866" s="15"/>
      <c r="F866" s="15"/>
      <c r="G866" s="15"/>
      <c r="H866" s="16" t="str">
        <f aca="false">IF(OR(D866="",F866=""),"",IF(D866=F866,"Yes","No"))</f>
        <v/>
      </c>
      <c r="I866" s="15"/>
      <c r="J866" s="15"/>
      <c r="K866" s="15"/>
      <c r="L866" s="15"/>
    </row>
    <row r="867" customFormat="false" ht="15" hidden="false" customHeight="false" outlineLevel="0" collapsed="false">
      <c r="A867" s="15"/>
      <c r="B867" s="15"/>
      <c r="C867" s="15"/>
      <c r="D867" s="15"/>
      <c r="E867" s="15"/>
      <c r="F867" s="15"/>
      <c r="G867" s="15"/>
      <c r="H867" s="16" t="str">
        <f aca="false">IF(OR(D867="",F867=""),"",IF(D867=F867,"Yes","No"))</f>
        <v/>
      </c>
      <c r="I867" s="15"/>
      <c r="J867" s="15"/>
      <c r="K867" s="15"/>
      <c r="L867" s="15"/>
    </row>
    <row r="868" customFormat="false" ht="15" hidden="false" customHeight="false" outlineLevel="0" collapsed="false">
      <c r="A868" s="15"/>
      <c r="B868" s="15"/>
      <c r="C868" s="15"/>
      <c r="D868" s="15"/>
      <c r="E868" s="15"/>
      <c r="F868" s="15"/>
      <c r="G868" s="15"/>
      <c r="H868" s="16" t="str">
        <f aca="false">IF(OR(D868="",F868=""),"",IF(D868=F868,"Yes","No"))</f>
        <v/>
      </c>
      <c r="I868" s="15"/>
      <c r="J868" s="15"/>
      <c r="K868" s="15"/>
      <c r="L868" s="15"/>
    </row>
    <row r="869" customFormat="false" ht="15" hidden="false" customHeight="false" outlineLevel="0" collapsed="false">
      <c r="A869" s="15"/>
      <c r="B869" s="15"/>
      <c r="C869" s="15"/>
      <c r="D869" s="15"/>
      <c r="E869" s="15"/>
      <c r="F869" s="15"/>
      <c r="G869" s="15"/>
      <c r="H869" s="16" t="str">
        <f aca="false">IF(OR(D869="",F869=""),"",IF(D869=F869,"Yes","No"))</f>
        <v/>
      </c>
      <c r="I869" s="15"/>
      <c r="J869" s="15"/>
      <c r="K869" s="15"/>
      <c r="L869" s="15"/>
    </row>
    <row r="870" customFormat="false" ht="15" hidden="false" customHeight="false" outlineLevel="0" collapsed="false">
      <c r="A870" s="15"/>
      <c r="B870" s="15"/>
      <c r="C870" s="15"/>
      <c r="D870" s="15"/>
      <c r="E870" s="15"/>
      <c r="F870" s="15"/>
      <c r="G870" s="15"/>
      <c r="H870" s="16" t="str">
        <f aca="false">IF(OR(D870="",F870=""),"",IF(D870=F870,"Yes","No"))</f>
        <v/>
      </c>
      <c r="I870" s="15"/>
      <c r="J870" s="15"/>
      <c r="K870" s="15"/>
      <c r="L870" s="15"/>
    </row>
    <row r="871" customFormat="false" ht="15" hidden="false" customHeight="false" outlineLevel="0" collapsed="false">
      <c r="A871" s="15"/>
      <c r="B871" s="15"/>
      <c r="C871" s="15"/>
      <c r="D871" s="15"/>
      <c r="E871" s="15"/>
      <c r="F871" s="15"/>
      <c r="G871" s="15"/>
      <c r="H871" s="16" t="str">
        <f aca="false">IF(OR(D871="",F871=""),"",IF(D871=F871,"Yes","No"))</f>
        <v/>
      </c>
      <c r="I871" s="15"/>
      <c r="J871" s="15"/>
      <c r="K871" s="15"/>
      <c r="L871" s="15"/>
    </row>
    <row r="872" customFormat="false" ht="15" hidden="false" customHeight="false" outlineLevel="0" collapsed="false">
      <c r="A872" s="15"/>
      <c r="B872" s="15"/>
      <c r="C872" s="15"/>
      <c r="D872" s="15"/>
      <c r="E872" s="15"/>
      <c r="F872" s="15"/>
      <c r="G872" s="15"/>
      <c r="H872" s="16" t="str">
        <f aca="false">IF(OR(D872="",F872=""),"",IF(D872=F872,"Yes","No"))</f>
        <v/>
      </c>
      <c r="I872" s="15"/>
      <c r="J872" s="15"/>
      <c r="K872" s="15"/>
      <c r="L872" s="15"/>
    </row>
    <row r="873" customFormat="false" ht="15" hidden="false" customHeight="false" outlineLevel="0" collapsed="false">
      <c r="A873" s="15"/>
      <c r="B873" s="15"/>
      <c r="C873" s="15"/>
      <c r="D873" s="15"/>
      <c r="E873" s="15"/>
      <c r="F873" s="15"/>
      <c r="G873" s="15"/>
      <c r="H873" s="16" t="str">
        <f aca="false">IF(OR(D873="",F873=""),"",IF(D873=F873,"Yes","No"))</f>
        <v/>
      </c>
      <c r="I873" s="15"/>
      <c r="J873" s="15"/>
      <c r="K873" s="15"/>
      <c r="L873" s="15"/>
    </row>
    <row r="874" customFormat="false" ht="15" hidden="false" customHeight="false" outlineLevel="0" collapsed="false">
      <c r="A874" s="15"/>
      <c r="B874" s="15"/>
      <c r="C874" s="15"/>
      <c r="D874" s="15"/>
      <c r="E874" s="15"/>
      <c r="F874" s="15"/>
      <c r="G874" s="15"/>
      <c r="H874" s="16" t="str">
        <f aca="false">IF(OR(D874="",F874=""),"",IF(D874=F874,"Yes","No"))</f>
        <v/>
      </c>
      <c r="I874" s="15"/>
      <c r="J874" s="15"/>
      <c r="K874" s="15"/>
      <c r="L874" s="15"/>
    </row>
    <row r="875" customFormat="false" ht="15" hidden="false" customHeight="false" outlineLevel="0" collapsed="false">
      <c r="A875" s="15"/>
      <c r="B875" s="15"/>
      <c r="C875" s="15"/>
      <c r="D875" s="15"/>
      <c r="E875" s="15"/>
      <c r="F875" s="15"/>
      <c r="G875" s="15"/>
      <c r="H875" s="16" t="str">
        <f aca="false">IF(OR(D875="",F875=""),"",IF(D875=F875,"Yes","No"))</f>
        <v/>
      </c>
      <c r="I875" s="15"/>
      <c r="J875" s="15"/>
      <c r="K875" s="15"/>
      <c r="L875" s="15"/>
    </row>
    <row r="876" customFormat="false" ht="15" hidden="false" customHeight="false" outlineLevel="0" collapsed="false">
      <c r="A876" s="15"/>
      <c r="B876" s="15"/>
      <c r="C876" s="15"/>
      <c r="D876" s="15"/>
      <c r="E876" s="15"/>
      <c r="F876" s="15"/>
      <c r="G876" s="15"/>
      <c r="H876" s="16" t="str">
        <f aca="false">IF(OR(D876="",F876=""),"",IF(D876=F876,"Yes","No"))</f>
        <v/>
      </c>
      <c r="I876" s="15"/>
      <c r="J876" s="15"/>
      <c r="K876" s="15"/>
      <c r="L876" s="15"/>
    </row>
    <row r="877" customFormat="false" ht="15" hidden="false" customHeight="false" outlineLevel="0" collapsed="false">
      <c r="A877" s="15"/>
      <c r="B877" s="15"/>
      <c r="C877" s="15"/>
      <c r="D877" s="15"/>
      <c r="E877" s="15"/>
      <c r="F877" s="15"/>
      <c r="G877" s="15"/>
      <c r="H877" s="16" t="str">
        <f aca="false">IF(OR(D877="",F877=""),"",IF(D877=F877,"Yes","No"))</f>
        <v/>
      </c>
      <c r="I877" s="15"/>
      <c r="J877" s="15"/>
      <c r="K877" s="15"/>
      <c r="L877" s="15"/>
    </row>
    <row r="878" customFormat="false" ht="15" hidden="false" customHeight="false" outlineLevel="0" collapsed="false">
      <c r="A878" s="15"/>
      <c r="B878" s="15"/>
      <c r="C878" s="15"/>
      <c r="D878" s="15"/>
      <c r="E878" s="15"/>
      <c r="F878" s="15"/>
      <c r="G878" s="15"/>
      <c r="H878" s="16" t="str">
        <f aca="false">IF(OR(D878="",F878=""),"",IF(D878=F878,"Yes","No"))</f>
        <v/>
      </c>
      <c r="I878" s="15"/>
      <c r="J878" s="15"/>
      <c r="K878" s="15"/>
      <c r="L878" s="15"/>
    </row>
    <row r="879" customFormat="false" ht="15" hidden="false" customHeight="false" outlineLevel="0" collapsed="false">
      <c r="A879" s="15"/>
      <c r="B879" s="15"/>
      <c r="C879" s="15"/>
      <c r="D879" s="15"/>
      <c r="E879" s="15"/>
      <c r="F879" s="15"/>
      <c r="G879" s="15"/>
      <c r="H879" s="16" t="str">
        <f aca="false">IF(OR(D879="",F879=""),"",IF(D879=F879,"Yes","No"))</f>
        <v/>
      </c>
      <c r="I879" s="15"/>
      <c r="J879" s="15"/>
      <c r="K879" s="15"/>
      <c r="L879" s="15"/>
    </row>
    <row r="880" customFormat="false" ht="15" hidden="false" customHeight="false" outlineLevel="0" collapsed="false">
      <c r="A880" s="15"/>
      <c r="B880" s="15"/>
      <c r="C880" s="15"/>
      <c r="D880" s="15"/>
      <c r="E880" s="15"/>
      <c r="F880" s="15"/>
      <c r="G880" s="15"/>
      <c r="H880" s="16" t="str">
        <f aca="false">IF(OR(D880="",F880=""),"",IF(D880=F880,"Yes","No"))</f>
        <v/>
      </c>
      <c r="I880" s="15"/>
      <c r="J880" s="15"/>
      <c r="K880" s="15"/>
      <c r="L880" s="15"/>
    </row>
    <row r="881" customFormat="false" ht="15" hidden="false" customHeight="false" outlineLevel="0" collapsed="false">
      <c r="A881" s="15"/>
      <c r="B881" s="15"/>
      <c r="C881" s="15"/>
      <c r="D881" s="15"/>
      <c r="E881" s="15"/>
      <c r="F881" s="15"/>
      <c r="G881" s="15"/>
      <c r="H881" s="16" t="str">
        <f aca="false">IF(OR(D881="",F881=""),"",IF(D881=F881,"Yes","No"))</f>
        <v/>
      </c>
      <c r="I881" s="15"/>
      <c r="J881" s="15"/>
      <c r="K881" s="15"/>
      <c r="L881" s="15"/>
    </row>
    <row r="882" customFormat="false" ht="15" hidden="false" customHeight="false" outlineLevel="0" collapsed="false">
      <c r="A882" s="15"/>
      <c r="B882" s="15"/>
      <c r="C882" s="15"/>
      <c r="D882" s="15"/>
      <c r="E882" s="15"/>
      <c r="F882" s="15"/>
      <c r="G882" s="15"/>
      <c r="H882" s="16" t="str">
        <f aca="false">IF(OR(D882="",F882=""),"",IF(D882=F882,"Yes","No"))</f>
        <v/>
      </c>
      <c r="I882" s="15"/>
      <c r="J882" s="15"/>
      <c r="K882" s="15"/>
      <c r="L882" s="15"/>
    </row>
    <row r="883" customFormat="false" ht="15" hidden="false" customHeight="false" outlineLevel="0" collapsed="false">
      <c r="A883" s="15"/>
      <c r="B883" s="15"/>
      <c r="C883" s="15"/>
      <c r="D883" s="15"/>
      <c r="E883" s="15"/>
      <c r="F883" s="15"/>
      <c r="G883" s="15"/>
      <c r="H883" s="16" t="str">
        <f aca="false">IF(OR(D883="",F883=""),"",IF(D883=F883,"Yes","No"))</f>
        <v/>
      </c>
      <c r="I883" s="15"/>
      <c r="J883" s="15"/>
      <c r="K883" s="15"/>
      <c r="L883" s="15"/>
    </row>
    <row r="884" customFormat="false" ht="15" hidden="false" customHeight="false" outlineLevel="0" collapsed="false">
      <c r="A884" s="15"/>
      <c r="B884" s="15"/>
      <c r="C884" s="15"/>
      <c r="D884" s="15"/>
      <c r="E884" s="15"/>
      <c r="F884" s="15"/>
      <c r="G884" s="15"/>
      <c r="H884" s="16" t="str">
        <f aca="false">IF(OR(D884="",F884=""),"",IF(D884=F884,"Yes","No"))</f>
        <v/>
      </c>
      <c r="I884" s="15"/>
      <c r="J884" s="15"/>
      <c r="K884" s="15"/>
      <c r="L884" s="15"/>
    </row>
    <row r="885" customFormat="false" ht="15" hidden="false" customHeight="false" outlineLevel="0" collapsed="false">
      <c r="A885" s="15"/>
      <c r="B885" s="15"/>
      <c r="C885" s="15"/>
      <c r="D885" s="15"/>
      <c r="E885" s="15"/>
      <c r="F885" s="15"/>
      <c r="G885" s="15"/>
      <c r="H885" s="16" t="str">
        <f aca="false">IF(OR(D885="",F885=""),"",IF(D885=F885,"Yes","No"))</f>
        <v/>
      </c>
      <c r="I885" s="15"/>
      <c r="J885" s="15"/>
      <c r="K885" s="15"/>
      <c r="L885" s="15"/>
    </row>
    <row r="886" customFormat="false" ht="15" hidden="false" customHeight="false" outlineLevel="0" collapsed="false">
      <c r="A886" s="15"/>
      <c r="B886" s="15"/>
      <c r="C886" s="15"/>
      <c r="D886" s="15"/>
      <c r="E886" s="15"/>
      <c r="F886" s="15"/>
      <c r="G886" s="15"/>
      <c r="H886" s="16" t="str">
        <f aca="false">IF(OR(D886="",F886=""),"",IF(D886=F886,"Yes","No"))</f>
        <v/>
      </c>
      <c r="I886" s="15"/>
      <c r="J886" s="15"/>
      <c r="K886" s="15"/>
      <c r="L886" s="15"/>
    </row>
    <row r="887" customFormat="false" ht="15" hidden="false" customHeight="false" outlineLevel="0" collapsed="false">
      <c r="A887" s="15"/>
      <c r="B887" s="15"/>
      <c r="C887" s="15"/>
      <c r="D887" s="15"/>
      <c r="E887" s="15"/>
      <c r="F887" s="15"/>
      <c r="G887" s="15"/>
      <c r="H887" s="16" t="str">
        <f aca="false">IF(OR(D887="",F887=""),"",IF(D887=F887,"Yes","No"))</f>
        <v/>
      </c>
      <c r="I887" s="15"/>
      <c r="J887" s="15"/>
      <c r="K887" s="15"/>
      <c r="L887" s="15"/>
    </row>
    <row r="888" customFormat="false" ht="15" hidden="false" customHeight="false" outlineLevel="0" collapsed="false">
      <c r="A888" s="15"/>
      <c r="B888" s="15"/>
      <c r="C888" s="15"/>
      <c r="D888" s="15"/>
      <c r="E888" s="15"/>
      <c r="F888" s="15"/>
      <c r="G888" s="15"/>
      <c r="H888" s="16" t="str">
        <f aca="false">IF(OR(D888="",F888=""),"",IF(D888=F888,"Yes","No"))</f>
        <v/>
      </c>
      <c r="I888" s="15"/>
      <c r="J888" s="15"/>
      <c r="K888" s="15"/>
      <c r="L888" s="15"/>
    </row>
    <row r="889" customFormat="false" ht="15" hidden="false" customHeight="false" outlineLevel="0" collapsed="false">
      <c r="A889" s="15"/>
      <c r="B889" s="15"/>
      <c r="C889" s="15"/>
      <c r="D889" s="15"/>
      <c r="E889" s="15"/>
      <c r="F889" s="15"/>
      <c r="G889" s="15"/>
      <c r="H889" s="16" t="str">
        <f aca="false">IF(OR(D889="",F889=""),"",IF(D889=F889,"Yes","No"))</f>
        <v/>
      </c>
      <c r="I889" s="15"/>
      <c r="J889" s="15"/>
      <c r="K889" s="15"/>
      <c r="L889" s="15"/>
    </row>
    <row r="890" customFormat="false" ht="15" hidden="false" customHeight="false" outlineLevel="0" collapsed="false">
      <c r="A890" s="15"/>
      <c r="B890" s="15"/>
      <c r="C890" s="15"/>
      <c r="D890" s="15"/>
      <c r="E890" s="15"/>
      <c r="F890" s="15"/>
      <c r="G890" s="15"/>
      <c r="H890" s="16" t="str">
        <f aca="false">IF(OR(D890="",F890=""),"",IF(D890=F890,"Yes","No"))</f>
        <v/>
      </c>
      <c r="I890" s="15"/>
      <c r="J890" s="15"/>
      <c r="K890" s="15"/>
      <c r="L890" s="15"/>
    </row>
    <row r="891" customFormat="false" ht="15" hidden="false" customHeight="false" outlineLevel="0" collapsed="false">
      <c r="A891" s="15"/>
      <c r="B891" s="15"/>
      <c r="C891" s="15"/>
      <c r="D891" s="15"/>
      <c r="E891" s="15"/>
      <c r="F891" s="15"/>
      <c r="G891" s="15"/>
      <c r="H891" s="16" t="str">
        <f aca="false">IF(OR(D891="",F891=""),"",IF(D891=F891,"Yes","No"))</f>
        <v/>
      </c>
      <c r="I891" s="15"/>
      <c r="J891" s="15"/>
      <c r="K891" s="15"/>
      <c r="L891" s="15"/>
    </row>
    <row r="892" customFormat="false" ht="15" hidden="false" customHeight="false" outlineLevel="0" collapsed="false">
      <c r="A892" s="15"/>
      <c r="B892" s="15"/>
      <c r="C892" s="15"/>
      <c r="D892" s="15"/>
      <c r="E892" s="15"/>
      <c r="F892" s="15"/>
      <c r="G892" s="15"/>
      <c r="H892" s="16" t="str">
        <f aca="false">IF(OR(D892="",F892=""),"",IF(D892=F892,"Yes","No"))</f>
        <v/>
      </c>
      <c r="I892" s="15"/>
      <c r="J892" s="15"/>
      <c r="K892" s="15"/>
      <c r="L892" s="15"/>
    </row>
    <row r="893" customFormat="false" ht="15" hidden="false" customHeight="false" outlineLevel="0" collapsed="false">
      <c r="A893" s="15"/>
      <c r="B893" s="15"/>
      <c r="C893" s="15"/>
      <c r="D893" s="15"/>
      <c r="E893" s="15"/>
      <c r="F893" s="15"/>
      <c r="G893" s="15"/>
      <c r="H893" s="16" t="str">
        <f aca="false">IF(OR(D893="",F893=""),"",IF(D893=F893,"Yes","No"))</f>
        <v/>
      </c>
      <c r="I893" s="15"/>
      <c r="J893" s="15"/>
      <c r="K893" s="15"/>
      <c r="L893" s="15"/>
    </row>
    <row r="894" customFormat="false" ht="15" hidden="false" customHeight="false" outlineLevel="0" collapsed="false">
      <c r="A894" s="15"/>
      <c r="B894" s="15"/>
      <c r="C894" s="15"/>
      <c r="D894" s="15"/>
      <c r="E894" s="15"/>
      <c r="F894" s="15"/>
      <c r="G894" s="15"/>
      <c r="H894" s="16" t="str">
        <f aca="false">IF(OR(D894="",F894=""),"",IF(D894=F894,"Yes","No"))</f>
        <v/>
      </c>
      <c r="I894" s="15"/>
      <c r="J894" s="15"/>
      <c r="K894" s="15"/>
      <c r="L894" s="15"/>
    </row>
    <row r="895" customFormat="false" ht="15" hidden="false" customHeight="false" outlineLevel="0" collapsed="false">
      <c r="A895" s="15"/>
      <c r="B895" s="15"/>
      <c r="C895" s="15"/>
      <c r="D895" s="15"/>
      <c r="E895" s="15"/>
      <c r="F895" s="15"/>
      <c r="G895" s="15"/>
      <c r="H895" s="16" t="str">
        <f aca="false">IF(OR(D895="",F895=""),"",IF(D895=F895,"Yes","No"))</f>
        <v/>
      </c>
      <c r="I895" s="15"/>
      <c r="J895" s="15"/>
      <c r="K895" s="15"/>
      <c r="L895" s="15"/>
    </row>
    <row r="896" customFormat="false" ht="15" hidden="false" customHeight="false" outlineLevel="0" collapsed="false">
      <c r="A896" s="15"/>
      <c r="B896" s="15"/>
      <c r="C896" s="15"/>
      <c r="D896" s="15"/>
      <c r="E896" s="15"/>
      <c r="F896" s="15"/>
      <c r="G896" s="15"/>
      <c r="H896" s="16" t="str">
        <f aca="false">IF(OR(D896="",F896=""),"",IF(D896=F896,"Yes","No"))</f>
        <v/>
      </c>
      <c r="I896" s="15"/>
      <c r="J896" s="15"/>
      <c r="K896" s="15"/>
      <c r="L896" s="15"/>
    </row>
    <row r="897" customFormat="false" ht="15" hidden="false" customHeight="false" outlineLevel="0" collapsed="false">
      <c r="A897" s="15"/>
      <c r="B897" s="15"/>
      <c r="C897" s="15"/>
      <c r="D897" s="15"/>
      <c r="E897" s="15"/>
      <c r="F897" s="15"/>
      <c r="G897" s="15"/>
      <c r="H897" s="16" t="str">
        <f aca="false">IF(OR(D897="",F897=""),"",IF(D897=F897,"Yes","No"))</f>
        <v/>
      </c>
      <c r="I897" s="15"/>
      <c r="J897" s="15"/>
      <c r="K897" s="15"/>
      <c r="L897" s="15"/>
    </row>
    <row r="898" customFormat="false" ht="15" hidden="false" customHeight="false" outlineLevel="0" collapsed="false">
      <c r="A898" s="15"/>
      <c r="B898" s="15"/>
      <c r="C898" s="15"/>
      <c r="D898" s="15"/>
      <c r="E898" s="15"/>
      <c r="F898" s="15"/>
      <c r="G898" s="15"/>
      <c r="H898" s="16" t="str">
        <f aca="false">IF(OR(D898="",F898=""),"",IF(D898=F898,"Yes","No"))</f>
        <v/>
      </c>
      <c r="I898" s="15"/>
      <c r="J898" s="15"/>
      <c r="K898" s="15"/>
      <c r="L898" s="15"/>
    </row>
    <row r="899" customFormat="false" ht="15" hidden="false" customHeight="false" outlineLevel="0" collapsed="false">
      <c r="A899" s="15"/>
      <c r="B899" s="15"/>
      <c r="C899" s="15"/>
      <c r="D899" s="15"/>
      <c r="E899" s="15"/>
      <c r="F899" s="15"/>
      <c r="G899" s="15"/>
      <c r="H899" s="16" t="str">
        <f aca="false">IF(OR(D899="",F899=""),"",IF(D899=F899,"Yes","No"))</f>
        <v/>
      </c>
      <c r="I899" s="15"/>
      <c r="J899" s="15"/>
      <c r="K899" s="15"/>
      <c r="L899" s="15"/>
    </row>
    <row r="900" customFormat="false" ht="15" hidden="false" customHeight="false" outlineLevel="0" collapsed="false">
      <c r="A900" s="15"/>
      <c r="B900" s="15"/>
      <c r="C900" s="15"/>
      <c r="D900" s="15"/>
      <c r="E900" s="15"/>
      <c r="F900" s="15"/>
      <c r="G900" s="15"/>
      <c r="H900" s="16" t="str">
        <f aca="false">IF(OR(D900="",F900=""),"",IF(D900=F900,"Yes","No"))</f>
        <v/>
      </c>
      <c r="I900" s="15"/>
      <c r="J900" s="15"/>
      <c r="K900" s="15"/>
      <c r="L900" s="15"/>
    </row>
    <row r="901" customFormat="false" ht="15" hidden="false" customHeight="false" outlineLevel="0" collapsed="false">
      <c r="A901" s="15"/>
      <c r="B901" s="15"/>
      <c r="C901" s="15"/>
      <c r="D901" s="15"/>
      <c r="E901" s="15"/>
      <c r="F901" s="15"/>
      <c r="G901" s="15"/>
      <c r="H901" s="16" t="str">
        <f aca="false">IF(OR(D901="",F901=""),"",IF(D901=F901,"Yes","No"))</f>
        <v/>
      </c>
      <c r="I901" s="15"/>
      <c r="J901" s="15"/>
      <c r="K901" s="15"/>
      <c r="L901" s="15"/>
    </row>
    <row r="902" customFormat="false" ht="15" hidden="false" customHeight="false" outlineLevel="0" collapsed="false">
      <c r="A902" s="15"/>
      <c r="B902" s="15"/>
      <c r="C902" s="15"/>
      <c r="D902" s="15"/>
      <c r="E902" s="15"/>
      <c r="F902" s="15"/>
      <c r="G902" s="15"/>
      <c r="H902" s="16" t="str">
        <f aca="false">IF(OR(D902="",F902=""),"",IF(D902=F902,"Yes","No"))</f>
        <v/>
      </c>
      <c r="I902" s="15"/>
      <c r="J902" s="15"/>
      <c r="K902" s="15"/>
      <c r="L902" s="15"/>
    </row>
    <row r="903" customFormat="false" ht="15" hidden="false" customHeight="false" outlineLevel="0" collapsed="false">
      <c r="A903" s="15"/>
      <c r="B903" s="15"/>
      <c r="C903" s="15"/>
      <c r="D903" s="15"/>
      <c r="E903" s="15"/>
      <c r="F903" s="15"/>
      <c r="G903" s="15"/>
      <c r="H903" s="16" t="str">
        <f aca="false">IF(OR(D903="",F903=""),"",IF(D903=F903,"Yes","No"))</f>
        <v/>
      </c>
      <c r="I903" s="15"/>
      <c r="J903" s="15"/>
      <c r="K903" s="15"/>
      <c r="L903" s="15"/>
    </row>
    <row r="904" customFormat="false" ht="15" hidden="false" customHeight="false" outlineLevel="0" collapsed="false">
      <c r="A904" s="15"/>
      <c r="B904" s="15"/>
      <c r="C904" s="15"/>
      <c r="D904" s="15"/>
      <c r="E904" s="15"/>
      <c r="F904" s="15"/>
      <c r="G904" s="15"/>
      <c r="H904" s="16" t="str">
        <f aca="false">IF(OR(D904="",F904=""),"",IF(D904=F904,"Yes","No"))</f>
        <v/>
      </c>
      <c r="I904" s="15"/>
      <c r="J904" s="15"/>
      <c r="K904" s="15"/>
      <c r="L904" s="15"/>
    </row>
    <row r="905" customFormat="false" ht="15" hidden="false" customHeight="false" outlineLevel="0" collapsed="false">
      <c r="A905" s="15"/>
      <c r="B905" s="15"/>
      <c r="C905" s="15"/>
      <c r="D905" s="15"/>
      <c r="E905" s="15"/>
      <c r="F905" s="15"/>
      <c r="G905" s="15"/>
      <c r="H905" s="16" t="str">
        <f aca="false">IF(OR(D905="",F905=""),"",IF(D905=F905,"Yes","No"))</f>
        <v/>
      </c>
      <c r="I905" s="15"/>
      <c r="J905" s="15"/>
      <c r="K905" s="15"/>
      <c r="L905" s="15"/>
    </row>
    <row r="906" customFormat="false" ht="15" hidden="false" customHeight="false" outlineLevel="0" collapsed="false">
      <c r="A906" s="15"/>
      <c r="B906" s="15"/>
      <c r="C906" s="15"/>
      <c r="D906" s="15"/>
      <c r="E906" s="15"/>
      <c r="F906" s="15"/>
      <c r="G906" s="15"/>
      <c r="H906" s="16" t="str">
        <f aca="false">IF(OR(D906="",F906=""),"",IF(D906=F906,"Yes","No"))</f>
        <v/>
      </c>
      <c r="I906" s="15"/>
      <c r="J906" s="15"/>
      <c r="K906" s="15"/>
      <c r="L906" s="15"/>
    </row>
    <row r="907" customFormat="false" ht="15" hidden="false" customHeight="false" outlineLevel="0" collapsed="false">
      <c r="A907" s="15"/>
      <c r="B907" s="15"/>
      <c r="C907" s="15"/>
      <c r="D907" s="15"/>
      <c r="E907" s="15"/>
      <c r="F907" s="15"/>
      <c r="G907" s="15"/>
      <c r="H907" s="16" t="str">
        <f aca="false">IF(OR(D907="",F907=""),"",IF(D907=F907,"Yes","No"))</f>
        <v/>
      </c>
      <c r="I907" s="15"/>
      <c r="J907" s="15"/>
      <c r="K907" s="15"/>
      <c r="L907" s="15"/>
    </row>
    <row r="908" customFormat="false" ht="15" hidden="false" customHeight="false" outlineLevel="0" collapsed="false">
      <c r="A908" s="15"/>
      <c r="B908" s="15"/>
      <c r="C908" s="15"/>
      <c r="D908" s="15"/>
      <c r="E908" s="15"/>
      <c r="F908" s="15"/>
      <c r="G908" s="15"/>
      <c r="H908" s="16" t="str">
        <f aca="false">IF(OR(D908="",F908=""),"",IF(D908=F908,"Yes","No"))</f>
        <v/>
      </c>
      <c r="I908" s="15"/>
      <c r="J908" s="15"/>
      <c r="K908" s="15"/>
      <c r="L908" s="15"/>
    </row>
    <row r="909" customFormat="false" ht="15" hidden="false" customHeight="false" outlineLevel="0" collapsed="false">
      <c r="A909" s="15"/>
      <c r="B909" s="15"/>
      <c r="C909" s="15"/>
      <c r="D909" s="15"/>
      <c r="E909" s="15"/>
      <c r="F909" s="15"/>
      <c r="G909" s="15"/>
      <c r="H909" s="16" t="str">
        <f aca="false">IF(OR(D909="",F909=""),"",IF(D909=F909,"Yes","No"))</f>
        <v/>
      </c>
      <c r="I909" s="15"/>
      <c r="J909" s="15"/>
      <c r="K909" s="15"/>
      <c r="L909" s="15"/>
    </row>
    <row r="910" customFormat="false" ht="15" hidden="false" customHeight="false" outlineLevel="0" collapsed="false">
      <c r="A910" s="15"/>
      <c r="B910" s="15"/>
      <c r="C910" s="15"/>
      <c r="D910" s="15"/>
      <c r="E910" s="15"/>
      <c r="F910" s="15"/>
      <c r="G910" s="15"/>
      <c r="H910" s="16" t="str">
        <f aca="false">IF(OR(D910="",F910=""),"",IF(D910=F910,"Yes","No"))</f>
        <v/>
      </c>
      <c r="I910" s="15"/>
      <c r="J910" s="15"/>
      <c r="K910" s="15"/>
      <c r="L910" s="15"/>
    </row>
    <row r="911" customFormat="false" ht="15" hidden="false" customHeight="false" outlineLevel="0" collapsed="false">
      <c r="A911" s="15"/>
      <c r="B911" s="15"/>
      <c r="C911" s="15"/>
      <c r="D911" s="15"/>
      <c r="E911" s="15"/>
      <c r="F911" s="15"/>
      <c r="G911" s="15"/>
      <c r="H911" s="16" t="str">
        <f aca="false">IF(OR(D911="",F911=""),"",IF(D911=F911,"Yes","No"))</f>
        <v/>
      </c>
      <c r="I911" s="15"/>
      <c r="J911" s="15"/>
      <c r="K911" s="15"/>
      <c r="L911" s="15"/>
    </row>
    <row r="912" customFormat="false" ht="15" hidden="false" customHeight="false" outlineLevel="0" collapsed="false">
      <c r="A912" s="15"/>
      <c r="B912" s="15"/>
      <c r="C912" s="15"/>
      <c r="D912" s="15"/>
      <c r="E912" s="15"/>
      <c r="F912" s="15"/>
      <c r="G912" s="15"/>
      <c r="H912" s="16" t="str">
        <f aca="false">IF(OR(D912="",F912=""),"",IF(D912=F912,"Yes","No"))</f>
        <v/>
      </c>
      <c r="I912" s="15"/>
      <c r="J912" s="15"/>
      <c r="K912" s="15"/>
      <c r="L912" s="15"/>
    </row>
    <row r="913" customFormat="false" ht="15" hidden="false" customHeight="false" outlineLevel="0" collapsed="false">
      <c r="A913" s="15"/>
      <c r="B913" s="15"/>
      <c r="C913" s="15"/>
      <c r="D913" s="15"/>
      <c r="E913" s="15"/>
      <c r="F913" s="15"/>
      <c r="G913" s="15"/>
      <c r="H913" s="16" t="str">
        <f aca="false">IF(OR(D913="",F913=""),"",IF(D913=F913,"Yes","No"))</f>
        <v/>
      </c>
      <c r="I913" s="15"/>
      <c r="J913" s="15"/>
      <c r="K913" s="15"/>
      <c r="L913" s="15"/>
    </row>
    <row r="914" customFormat="false" ht="15" hidden="false" customHeight="false" outlineLevel="0" collapsed="false">
      <c r="A914" s="15"/>
      <c r="B914" s="15"/>
      <c r="C914" s="15"/>
      <c r="D914" s="15"/>
      <c r="E914" s="15"/>
      <c r="F914" s="15"/>
      <c r="G914" s="15"/>
      <c r="H914" s="16" t="str">
        <f aca="false">IF(OR(D914="",F914=""),"",IF(D914=F914,"Yes","No"))</f>
        <v/>
      </c>
      <c r="I914" s="15"/>
      <c r="J914" s="15"/>
      <c r="K914" s="15"/>
      <c r="L914" s="15"/>
    </row>
    <row r="915" customFormat="false" ht="15" hidden="false" customHeight="false" outlineLevel="0" collapsed="false">
      <c r="A915" s="15"/>
      <c r="B915" s="15"/>
      <c r="C915" s="15"/>
      <c r="D915" s="15"/>
      <c r="E915" s="15"/>
      <c r="F915" s="15"/>
      <c r="G915" s="15"/>
      <c r="H915" s="16" t="str">
        <f aca="false">IF(OR(D915="",F915=""),"",IF(D915=F915,"Yes","No"))</f>
        <v/>
      </c>
      <c r="I915" s="15"/>
      <c r="J915" s="15"/>
      <c r="K915" s="15"/>
      <c r="L915" s="15"/>
    </row>
    <row r="916" customFormat="false" ht="15" hidden="false" customHeight="false" outlineLevel="0" collapsed="false">
      <c r="A916" s="15"/>
      <c r="B916" s="15"/>
      <c r="C916" s="15"/>
      <c r="D916" s="15"/>
      <c r="E916" s="15"/>
      <c r="F916" s="15"/>
      <c r="G916" s="15"/>
      <c r="H916" s="16" t="str">
        <f aca="false">IF(OR(D916="",F916=""),"",IF(D916=F916,"Yes","No"))</f>
        <v/>
      </c>
      <c r="I916" s="15"/>
      <c r="J916" s="15"/>
      <c r="K916" s="15"/>
      <c r="L916" s="15"/>
    </row>
    <row r="917" customFormat="false" ht="15" hidden="false" customHeight="false" outlineLevel="0" collapsed="false">
      <c r="A917" s="15"/>
      <c r="B917" s="15"/>
      <c r="C917" s="15"/>
      <c r="D917" s="15"/>
      <c r="E917" s="15"/>
      <c r="F917" s="15"/>
      <c r="G917" s="15"/>
      <c r="H917" s="16" t="str">
        <f aca="false">IF(OR(D917="",F917=""),"",IF(D917=F917,"Yes","No"))</f>
        <v/>
      </c>
      <c r="I917" s="15"/>
      <c r="J917" s="15"/>
      <c r="K917" s="15"/>
      <c r="L917" s="15"/>
    </row>
    <row r="918" customFormat="false" ht="15" hidden="false" customHeight="false" outlineLevel="0" collapsed="false">
      <c r="A918" s="15"/>
      <c r="B918" s="15"/>
      <c r="C918" s="15"/>
      <c r="D918" s="15"/>
      <c r="E918" s="15"/>
      <c r="F918" s="15"/>
      <c r="G918" s="15"/>
      <c r="H918" s="16" t="str">
        <f aca="false">IF(OR(D918="",F918=""),"",IF(D918=F918,"Yes","No"))</f>
        <v/>
      </c>
      <c r="I918" s="15"/>
      <c r="J918" s="15"/>
      <c r="K918" s="15"/>
      <c r="L918" s="15"/>
    </row>
    <row r="919" customFormat="false" ht="15" hidden="false" customHeight="false" outlineLevel="0" collapsed="false">
      <c r="A919" s="15"/>
      <c r="B919" s="15"/>
      <c r="C919" s="15"/>
      <c r="D919" s="15"/>
      <c r="E919" s="15"/>
      <c r="F919" s="15"/>
      <c r="G919" s="15"/>
      <c r="H919" s="16" t="str">
        <f aca="false">IF(OR(D919="",F919=""),"",IF(D919=F919,"Yes","No"))</f>
        <v/>
      </c>
      <c r="I919" s="15"/>
      <c r="J919" s="15"/>
      <c r="K919" s="15"/>
      <c r="L919" s="15"/>
    </row>
    <row r="920" customFormat="false" ht="15" hidden="false" customHeight="false" outlineLevel="0" collapsed="false">
      <c r="A920" s="15"/>
      <c r="B920" s="15"/>
      <c r="C920" s="15"/>
      <c r="D920" s="15"/>
      <c r="E920" s="15"/>
      <c r="F920" s="15"/>
      <c r="G920" s="15"/>
      <c r="H920" s="16" t="str">
        <f aca="false">IF(OR(D920="",F920=""),"",IF(D920=F920,"Yes","No"))</f>
        <v/>
      </c>
      <c r="I920" s="15"/>
      <c r="J920" s="15"/>
      <c r="K920" s="15"/>
      <c r="L920" s="15"/>
    </row>
    <row r="921" customFormat="false" ht="15" hidden="false" customHeight="false" outlineLevel="0" collapsed="false">
      <c r="A921" s="15"/>
      <c r="B921" s="15"/>
      <c r="C921" s="15"/>
      <c r="D921" s="15"/>
      <c r="E921" s="15"/>
      <c r="F921" s="15"/>
      <c r="G921" s="15"/>
      <c r="H921" s="16" t="str">
        <f aca="false">IF(OR(D921="",F921=""),"",IF(D921=F921,"Yes","No"))</f>
        <v/>
      </c>
      <c r="I921" s="15"/>
      <c r="J921" s="15"/>
      <c r="K921" s="15"/>
      <c r="L921" s="15"/>
    </row>
    <row r="922" customFormat="false" ht="15" hidden="false" customHeight="false" outlineLevel="0" collapsed="false">
      <c r="A922" s="15"/>
      <c r="B922" s="15"/>
      <c r="C922" s="15"/>
      <c r="D922" s="15"/>
      <c r="E922" s="15"/>
      <c r="F922" s="15"/>
      <c r="G922" s="15"/>
      <c r="H922" s="16" t="str">
        <f aca="false">IF(OR(D922="",F922=""),"",IF(D922=F922,"Yes","No"))</f>
        <v/>
      </c>
      <c r="I922" s="15"/>
      <c r="J922" s="15"/>
      <c r="K922" s="15"/>
      <c r="L922" s="15"/>
    </row>
    <row r="923" customFormat="false" ht="15" hidden="false" customHeight="false" outlineLevel="0" collapsed="false">
      <c r="A923" s="15"/>
      <c r="B923" s="15"/>
      <c r="C923" s="15"/>
      <c r="D923" s="15"/>
      <c r="E923" s="15"/>
      <c r="F923" s="15"/>
      <c r="G923" s="15"/>
      <c r="H923" s="16" t="str">
        <f aca="false">IF(OR(D923="",F923=""),"",IF(D923=F923,"Yes","No"))</f>
        <v/>
      </c>
      <c r="I923" s="15"/>
      <c r="J923" s="15"/>
      <c r="K923" s="15"/>
      <c r="L923" s="15"/>
    </row>
    <row r="924" customFormat="false" ht="15" hidden="false" customHeight="false" outlineLevel="0" collapsed="false">
      <c r="A924" s="15"/>
      <c r="B924" s="15"/>
      <c r="C924" s="15"/>
      <c r="D924" s="15"/>
      <c r="E924" s="15"/>
      <c r="F924" s="15"/>
      <c r="G924" s="15"/>
      <c r="H924" s="16" t="str">
        <f aca="false">IF(OR(D924="",F924=""),"",IF(D924=F924,"Yes","No"))</f>
        <v/>
      </c>
      <c r="I924" s="15"/>
      <c r="J924" s="15"/>
      <c r="K924" s="15"/>
      <c r="L924" s="15"/>
    </row>
    <row r="925" customFormat="false" ht="15" hidden="false" customHeight="false" outlineLevel="0" collapsed="false">
      <c r="A925" s="15"/>
      <c r="B925" s="15"/>
      <c r="C925" s="15"/>
      <c r="D925" s="15"/>
      <c r="E925" s="15"/>
      <c r="F925" s="15"/>
      <c r="G925" s="15"/>
      <c r="H925" s="16" t="str">
        <f aca="false">IF(OR(D925="",F925=""),"",IF(D925=F925,"Yes","No"))</f>
        <v/>
      </c>
      <c r="I925" s="15"/>
      <c r="J925" s="15"/>
      <c r="K925" s="15"/>
      <c r="L925" s="15"/>
    </row>
    <row r="926" customFormat="false" ht="15" hidden="false" customHeight="false" outlineLevel="0" collapsed="false">
      <c r="A926" s="15"/>
      <c r="B926" s="15"/>
      <c r="C926" s="15"/>
      <c r="D926" s="15"/>
      <c r="E926" s="15"/>
      <c r="F926" s="15"/>
      <c r="G926" s="15"/>
      <c r="H926" s="16" t="str">
        <f aca="false">IF(OR(D926="",F926=""),"",IF(D926=F926,"Yes","No"))</f>
        <v/>
      </c>
      <c r="I926" s="15"/>
      <c r="J926" s="15"/>
      <c r="K926" s="15"/>
      <c r="L926" s="15"/>
    </row>
    <row r="927" customFormat="false" ht="15" hidden="false" customHeight="false" outlineLevel="0" collapsed="false">
      <c r="A927" s="15"/>
      <c r="B927" s="15"/>
      <c r="C927" s="15"/>
      <c r="D927" s="15"/>
      <c r="E927" s="15"/>
      <c r="F927" s="15"/>
      <c r="G927" s="15"/>
      <c r="H927" s="16" t="str">
        <f aca="false">IF(OR(D927="",F927=""),"",IF(D927=F927,"Yes","No"))</f>
        <v/>
      </c>
      <c r="I927" s="15"/>
      <c r="J927" s="15"/>
      <c r="K927" s="15"/>
      <c r="L927" s="15"/>
    </row>
    <row r="928" customFormat="false" ht="15" hidden="false" customHeight="false" outlineLevel="0" collapsed="false">
      <c r="A928" s="15"/>
      <c r="B928" s="15"/>
      <c r="C928" s="15"/>
      <c r="D928" s="15"/>
      <c r="E928" s="15"/>
      <c r="F928" s="15"/>
      <c r="G928" s="15"/>
      <c r="H928" s="16" t="str">
        <f aca="false">IF(OR(D928="",F928=""),"",IF(D928=F928,"Yes","No"))</f>
        <v/>
      </c>
      <c r="I928" s="15"/>
      <c r="J928" s="15"/>
      <c r="K928" s="15"/>
      <c r="L928" s="15"/>
    </row>
    <row r="929" customFormat="false" ht="15" hidden="false" customHeight="false" outlineLevel="0" collapsed="false">
      <c r="A929" s="15"/>
      <c r="B929" s="15"/>
      <c r="C929" s="15"/>
      <c r="D929" s="15"/>
      <c r="E929" s="15"/>
      <c r="F929" s="15"/>
      <c r="G929" s="15"/>
      <c r="H929" s="16" t="str">
        <f aca="false">IF(OR(D929="",F929=""),"",IF(D929=F929,"Yes","No"))</f>
        <v/>
      </c>
      <c r="I929" s="15"/>
      <c r="J929" s="15"/>
      <c r="K929" s="15"/>
      <c r="L929" s="15"/>
    </row>
    <row r="930" customFormat="false" ht="15" hidden="false" customHeight="false" outlineLevel="0" collapsed="false">
      <c r="A930" s="15"/>
      <c r="B930" s="15"/>
      <c r="C930" s="15"/>
      <c r="D930" s="15"/>
      <c r="E930" s="15"/>
      <c r="F930" s="15"/>
      <c r="G930" s="15"/>
      <c r="H930" s="16" t="str">
        <f aca="false">IF(OR(D930="",F930=""),"",IF(D930=F930,"Yes","No"))</f>
        <v/>
      </c>
      <c r="I930" s="15"/>
      <c r="J930" s="15"/>
      <c r="K930" s="15"/>
      <c r="L930" s="15"/>
    </row>
    <row r="931" customFormat="false" ht="15" hidden="false" customHeight="false" outlineLevel="0" collapsed="false">
      <c r="A931" s="15"/>
      <c r="B931" s="15"/>
      <c r="C931" s="15"/>
      <c r="D931" s="15"/>
      <c r="E931" s="15"/>
      <c r="F931" s="15"/>
      <c r="G931" s="15"/>
      <c r="H931" s="16" t="str">
        <f aca="false">IF(OR(D931="",F931=""),"",IF(D931=F931,"Yes","No"))</f>
        <v/>
      </c>
      <c r="I931" s="15"/>
      <c r="J931" s="15"/>
      <c r="K931" s="15"/>
      <c r="L931" s="15"/>
    </row>
    <row r="932" customFormat="false" ht="15" hidden="false" customHeight="false" outlineLevel="0" collapsed="false">
      <c r="A932" s="15"/>
      <c r="B932" s="15"/>
      <c r="C932" s="15"/>
      <c r="D932" s="15"/>
      <c r="E932" s="15"/>
      <c r="F932" s="15"/>
      <c r="G932" s="15"/>
      <c r="H932" s="16" t="str">
        <f aca="false">IF(OR(D932="",F932=""),"",IF(D932=F932,"Yes","No"))</f>
        <v/>
      </c>
      <c r="I932" s="15"/>
      <c r="J932" s="15"/>
      <c r="K932" s="15"/>
      <c r="L932" s="15"/>
    </row>
    <row r="933" customFormat="false" ht="15" hidden="false" customHeight="false" outlineLevel="0" collapsed="false">
      <c r="A933" s="15"/>
      <c r="B933" s="15"/>
      <c r="C933" s="15"/>
      <c r="D933" s="15"/>
      <c r="E933" s="15"/>
      <c r="F933" s="15"/>
      <c r="G933" s="15"/>
      <c r="H933" s="16" t="str">
        <f aca="false">IF(OR(D933="",F933=""),"",IF(D933=F933,"Yes","No"))</f>
        <v/>
      </c>
      <c r="I933" s="15"/>
      <c r="J933" s="15"/>
      <c r="K933" s="15"/>
      <c r="L933" s="15"/>
    </row>
    <row r="934" customFormat="false" ht="15" hidden="false" customHeight="false" outlineLevel="0" collapsed="false">
      <c r="A934" s="15"/>
      <c r="B934" s="15"/>
      <c r="C934" s="15"/>
      <c r="D934" s="15"/>
      <c r="E934" s="15"/>
      <c r="F934" s="15"/>
      <c r="G934" s="15"/>
      <c r="H934" s="16" t="str">
        <f aca="false">IF(OR(D934="",F934=""),"",IF(D934=F934,"Yes","No"))</f>
        <v/>
      </c>
      <c r="I934" s="15"/>
      <c r="J934" s="15"/>
      <c r="K934" s="15"/>
      <c r="L934" s="15"/>
    </row>
    <row r="935" customFormat="false" ht="15" hidden="false" customHeight="false" outlineLevel="0" collapsed="false">
      <c r="A935" s="15"/>
      <c r="B935" s="15"/>
      <c r="C935" s="15"/>
      <c r="D935" s="15"/>
      <c r="E935" s="15"/>
      <c r="F935" s="15"/>
      <c r="G935" s="15"/>
      <c r="H935" s="16" t="str">
        <f aca="false">IF(OR(D935="",F935=""),"",IF(D935=F935,"Yes","No"))</f>
        <v/>
      </c>
      <c r="I935" s="15"/>
      <c r="J935" s="15"/>
      <c r="K935" s="15"/>
      <c r="L935" s="15"/>
    </row>
    <row r="936" customFormat="false" ht="15" hidden="false" customHeight="false" outlineLevel="0" collapsed="false">
      <c r="A936" s="15"/>
      <c r="B936" s="15"/>
      <c r="C936" s="15"/>
      <c r="D936" s="15"/>
      <c r="E936" s="15"/>
      <c r="F936" s="15"/>
      <c r="G936" s="15"/>
      <c r="H936" s="16" t="str">
        <f aca="false">IF(OR(D936="",F936=""),"",IF(D936=F936,"Yes","No"))</f>
        <v/>
      </c>
      <c r="I936" s="15"/>
      <c r="J936" s="15"/>
      <c r="K936" s="15"/>
      <c r="L936" s="15"/>
    </row>
    <row r="937" customFormat="false" ht="15" hidden="false" customHeight="false" outlineLevel="0" collapsed="false">
      <c r="A937" s="15"/>
      <c r="B937" s="15"/>
      <c r="C937" s="15"/>
      <c r="D937" s="15"/>
      <c r="E937" s="15"/>
      <c r="F937" s="15"/>
      <c r="G937" s="15"/>
      <c r="H937" s="16" t="str">
        <f aca="false">IF(OR(D937="",F937=""),"",IF(D937=F937,"Yes","No"))</f>
        <v/>
      </c>
      <c r="I937" s="15"/>
      <c r="J937" s="15"/>
      <c r="K937" s="15"/>
      <c r="L937" s="15"/>
    </row>
    <row r="938" customFormat="false" ht="15" hidden="false" customHeight="false" outlineLevel="0" collapsed="false">
      <c r="A938" s="15"/>
      <c r="B938" s="15"/>
      <c r="C938" s="15"/>
      <c r="D938" s="15"/>
      <c r="E938" s="15"/>
      <c r="F938" s="15"/>
      <c r="G938" s="15"/>
      <c r="H938" s="16" t="str">
        <f aca="false">IF(OR(D938="",F938=""),"",IF(D938=F938,"Yes","No"))</f>
        <v/>
      </c>
      <c r="I938" s="15"/>
      <c r="J938" s="15"/>
      <c r="K938" s="15"/>
      <c r="L938" s="15"/>
    </row>
    <row r="939" customFormat="false" ht="15" hidden="false" customHeight="false" outlineLevel="0" collapsed="false">
      <c r="A939" s="15"/>
      <c r="B939" s="15"/>
      <c r="C939" s="15"/>
      <c r="D939" s="15"/>
      <c r="E939" s="15"/>
      <c r="F939" s="15"/>
      <c r="G939" s="15"/>
      <c r="H939" s="16" t="str">
        <f aca="false">IF(OR(D939="",F939=""),"",IF(D939=F939,"Yes","No"))</f>
        <v/>
      </c>
      <c r="I939" s="15"/>
      <c r="J939" s="15"/>
      <c r="K939" s="15"/>
      <c r="L939" s="15"/>
    </row>
    <row r="940" customFormat="false" ht="15" hidden="false" customHeight="false" outlineLevel="0" collapsed="false">
      <c r="A940" s="15"/>
      <c r="B940" s="15"/>
      <c r="C940" s="15"/>
      <c r="D940" s="15"/>
      <c r="E940" s="15"/>
      <c r="F940" s="15"/>
      <c r="G940" s="15"/>
      <c r="H940" s="16" t="str">
        <f aca="false">IF(OR(D940="",F940=""),"",IF(D940=F940,"Yes","No"))</f>
        <v/>
      </c>
      <c r="I940" s="15"/>
      <c r="J940" s="15"/>
      <c r="K940" s="15"/>
      <c r="L940" s="15"/>
    </row>
    <row r="941" customFormat="false" ht="15" hidden="false" customHeight="false" outlineLevel="0" collapsed="false">
      <c r="A941" s="15"/>
      <c r="B941" s="15"/>
      <c r="C941" s="15"/>
      <c r="D941" s="15"/>
      <c r="E941" s="15"/>
      <c r="F941" s="15"/>
      <c r="G941" s="15"/>
      <c r="H941" s="16" t="str">
        <f aca="false">IF(OR(D941="",F941=""),"",IF(D941=F941,"Yes","No"))</f>
        <v/>
      </c>
      <c r="I941" s="15"/>
      <c r="J941" s="15"/>
      <c r="K941" s="15"/>
      <c r="L941" s="15"/>
    </row>
    <row r="942" customFormat="false" ht="15" hidden="false" customHeight="false" outlineLevel="0" collapsed="false">
      <c r="A942" s="15"/>
      <c r="B942" s="15"/>
      <c r="C942" s="15"/>
      <c r="D942" s="15"/>
      <c r="E942" s="15"/>
      <c r="F942" s="15"/>
      <c r="G942" s="15"/>
      <c r="H942" s="16" t="str">
        <f aca="false">IF(OR(D942="",F942=""),"",IF(D942=F942,"Yes","No"))</f>
        <v/>
      </c>
      <c r="I942" s="15"/>
      <c r="J942" s="15"/>
      <c r="K942" s="15"/>
      <c r="L942" s="15"/>
    </row>
    <row r="943" customFormat="false" ht="15" hidden="false" customHeight="false" outlineLevel="0" collapsed="false">
      <c r="A943" s="15"/>
      <c r="B943" s="15"/>
      <c r="C943" s="15"/>
      <c r="D943" s="15"/>
      <c r="E943" s="15"/>
      <c r="F943" s="15"/>
      <c r="G943" s="15"/>
      <c r="H943" s="16" t="str">
        <f aca="false">IF(OR(D943="",F943=""),"",IF(D943=F943,"Yes","No"))</f>
        <v/>
      </c>
      <c r="I943" s="15"/>
      <c r="J943" s="15"/>
      <c r="K943" s="15"/>
      <c r="L943" s="15"/>
    </row>
    <row r="944" customFormat="false" ht="15" hidden="false" customHeight="false" outlineLevel="0" collapsed="false">
      <c r="A944" s="15"/>
      <c r="B944" s="15"/>
      <c r="C944" s="15"/>
      <c r="D944" s="15"/>
      <c r="E944" s="15"/>
      <c r="F944" s="15"/>
      <c r="G944" s="15"/>
      <c r="H944" s="16" t="str">
        <f aca="false">IF(OR(D944="",F944=""),"",IF(D944=F944,"Yes","No"))</f>
        <v/>
      </c>
      <c r="I944" s="15"/>
      <c r="J944" s="15"/>
      <c r="K944" s="15"/>
      <c r="L944" s="15"/>
    </row>
    <row r="945" customFormat="false" ht="15" hidden="false" customHeight="false" outlineLevel="0" collapsed="false">
      <c r="A945" s="15"/>
      <c r="B945" s="15"/>
      <c r="C945" s="15"/>
      <c r="D945" s="15"/>
      <c r="E945" s="15"/>
      <c r="F945" s="15"/>
      <c r="G945" s="15"/>
      <c r="H945" s="16" t="str">
        <f aca="false">IF(OR(D945="",F945=""),"",IF(D945=F945,"Yes","No"))</f>
        <v/>
      </c>
      <c r="I945" s="15"/>
      <c r="J945" s="15"/>
      <c r="K945" s="15"/>
      <c r="L945" s="15"/>
    </row>
    <row r="946" customFormat="false" ht="15" hidden="false" customHeight="false" outlineLevel="0" collapsed="false">
      <c r="A946" s="15"/>
      <c r="B946" s="15"/>
      <c r="C946" s="15"/>
      <c r="D946" s="15"/>
      <c r="E946" s="15"/>
      <c r="F946" s="15"/>
      <c r="G946" s="15"/>
      <c r="H946" s="16" t="str">
        <f aca="false">IF(OR(D946="",F946=""),"",IF(D946=F946,"Yes","No"))</f>
        <v/>
      </c>
      <c r="I946" s="15"/>
      <c r="J946" s="15"/>
      <c r="K946" s="15"/>
      <c r="L946" s="15"/>
    </row>
    <row r="947" customFormat="false" ht="15" hidden="false" customHeight="false" outlineLevel="0" collapsed="false">
      <c r="A947" s="15"/>
      <c r="B947" s="15"/>
      <c r="C947" s="15"/>
      <c r="D947" s="15"/>
      <c r="E947" s="15"/>
      <c r="F947" s="15"/>
      <c r="G947" s="15"/>
      <c r="H947" s="16" t="str">
        <f aca="false">IF(OR(D947="",F947=""),"",IF(D947=F947,"Yes","No"))</f>
        <v/>
      </c>
      <c r="I947" s="15"/>
      <c r="J947" s="15"/>
      <c r="K947" s="15"/>
      <c r="L947" s="15"/>
    </row>
    <row r="948" customFormat="false" ht="15" hidden="false" customHeight="false" outlineLevel="0" collapsed="false">
      <c r="A948" s="15"/>
      <c r="B948" s="15"/>
      <c r="C948" s="15"/>
      <c r="D948" s="15"/>
      <c r="E948" s="15"/>
      <c r="F948" s="15"/>
      <c r="G948" s="15"/>
      <c r="H948" s="16" t="str">
        <f aca="false">IF(OR(D948="",F948=""),"",IF(D948=F948,"Yes","No"))</f>
        <v/>
      </c>
      <c r="I948" s="15"/>
      <c r="J948" s="15"/>
      <c r="K948" s="15"/>
      <c r="L948" s="15"/>
    </row>
    <row r="949" customFormat="false" ht="15" hidden="false" customHeight="false" outlineLevel="0" collapsed="false">
      <c r="A949" s="15"/>
      <c r="B949" s="15"/>
      <c r="C949" s="15"/>
      <c r="D949" s="15"/>
      <c r="E949" s="15"/>
      <c r="F949" s="15"/>
      <c r="G949" s="15"/>
      <c r="H949" s="16" t="str">
        <f aca="false">IF(OR(D949="",F949=""),"",IF(D949=F949,"Yes","No"))</f>
        <v/>
      </c>
      <c r="I949" s="15"/>
      <c r="J949" s="15"/>
      <c r="K949" s="15"/>
      <c r="L949" s="15"/>
    </row>
    <row r="950" customFormat="false" ht="15" hidden="false" customHeight="false" outlineLevel="0" collapsed="false">
      <c r="A950" s="15"/>
      <c r="B950" s="15"/>
      <c r="C950" s="15"/>
      <c r="D950" s="15"/>
      <c r="E950" s="15"/>
      <c r="F950" s="15"/>
      <c r="G950" s="15"/>
      <c r="H950" s="16" t="str">
        <f aca="false">IF(OR(D950="",F950=""),"",IF(D950=F950,"Yes","No"))</f>
        <v/>
      </c>
      <c r="I950" s="15"/>
      <c r="J950" s="15"/>
      <c r="K950" s="15"/>
      <c r="L950" s="15"/>
    </row>
    <row r="951" customFormat="false" ht="15" hidden="false" customHeight="false" outlineLevel="0" collapsed="false">
      <c r="A951" s="15"/>
      <c r="B951" s="15"/>
      <c r="C951" s="15"/>
      <c r="D951" s="15"/>
      <c r="E951" s="15"/>
      <c r="F951" s="15"/>
      <c r="G951" s="15"/>
      <c r="H951" s="16" t="str">
        <f aca="false">IF(OR(D951="",F951=""),"",IF(D951=F951,"Yes","No"))</f>
        <v/>
      </c>
      <c r="I951" s="15"/>
      <c r="J951" s="15"/>
      <c r="K951" s="15"/>
      <c r="L951" s="15"/>
    </row>
    <row r="952" customFormat="false" ht="15" hidden="false" customHeight="false" outlineLevel="0" collapsed="false">
      <c r="A952" s="15"/>
      <c r="B952" s="15"/>
      <c r="C952" s="15"/>
      <c r="D952" s="15"/>
      <c r="E952" s="15"/>
      <c r="F952" s="15"/>
      <c r="G952" s="15"/>
      <c r="H952" s="16" t="str">
        <f aca="false">IF(OR(D952="",F952=""),"",IF(D952=F952,"Yes","No"))</f>
        <v/>
      </c>
      <c r="I952" s="15"/>
      <c r="J952" s="15"/>
      <c r="K952" s="15"/>
      <c r="L952" s="15"/>
    </row>
    <row r="953" customFormat="false" ht="15" hidden="false" customHeight="false" outlineLevel="0" collapsed="false">
      <c r="A953" s="15"/>
      <c r="B953" s="15"/>
      <c r="C953" s="15"/>
      <c r="D953" s="15"/>
      <c r="E953" s="15"/>
      <c r="F953" s="15"/>
      <c r="G953" s="15"/>
      <c r="H953" s="16" t="str">
        <f aca="false">IF(OR(D953="",F953=""),"",IF(D953=F953,"Yes","No"))</f>
        <v/>
      </c>
      <c r="I953" s="15"/>
      <c r="J953" s="15"/>
      <c r="K953" s="15"/>
      <c r="L953" s="15"/>
    </row>
    <row r="954" customFormat="false" ht="15" hidden="false" customHeight="false" outlineLevel="0" collapsed="false">
      <c r="A954" s="15"/>
      <c r="B954" s="15"/>
      <c r="C954" s="15"/>
      <c r="D954" s="15"/>
      <c r="E954" s="15"/>
      <c r="F954" s="15"/>
      <c r="G954" s="15"/>
      <c r="H954" s="16" t="str">
        <f aca="false">IF(OR(D954="",F954=""),"",IF(D954=F954,"Yes","No"))</f>
        <v/>
      </c>
      <c r="I954" s="15"/>
      <c r="J954" s="15"/>
      <c r="K954" s="15"/>
      <c r="L954" s="15"/>
    </row>
    <row r="955" customFormat="false" ht="15" hidden="false" customHeight="false" outlineLevel="0" collapsed="false">
      <c r="A955" s="15"/>
      <c r="B955" s="15"/>
      <c r="C955" s="15"/>
      <c r="D955" s="15"/>
      <c r="E955" s="15"/>
      <c r="F955" s="15"/>
      <c r="G955" s="15"/>
      <c r="H955" s="16" t="str">
        <f aca="false">IF(OR(D955="",F955=""),"",IF(D955=F955,"Yes","No"))</f>
        <v/>
      </c>
      <c r="I955" s="15"/>
      <c r="J955" s="15"/>
      <c r="K955" s="15"/>
      <c r="L955" s="15"/>
    </row>
    <row r="956" customFormat="false" ht="15" hidden="false" customHeight="false" outlineLevel="0" collapsed="false">
      <c r="A956" s="15"/>
      <c r="B956" s="15"/>
      <c r="C956" s="15"/>
      <c r="D956" s="15"/>
      <c r="E956" s="15"/>
      <c r="F956" s="15"/>
      <c r="G956" s="15"/>
      <c r="H956" s="16" t="str">
        <f aca="false">IF(OR(D956="",F956=""),"",IF(D956=F956,"Yes","No"))</f>
        <v/>
      </c>
      <c r="I956" s="15"/>
      <c r="J956" s="15"/>
      <c r="K956" s="15"/>
      <c r="L956" s="15"/>
    </row>
    <row r="957" customFormat="false" ht="15" hidden="false" customHeight="false" outlineLevel="0" collapsed="false">
      <c r="A957" s="15"/>
      <c r="B957" s="15"/>
      <c r="C957" s="15"/>
      <c r="D957" s="15"/>
      <c r="E957" s="15"/>
      <c r="F957" s="15"/>
      <c r="G957" s="15"/>
      <c r="H957" s="16" t="str">
        <f aca="false">IF(OR(D957="",F957=""),"",IF(D957=F957,"Yes","No"))</f>
        <v/>
      </c>
      <c r="I957" s="15"/>
      <c r="J957" s="15"/>
      <c r="K957" s="15"/>
      <c r="L957" s="15"/>
    </row>
    <row r="958" customFormat="false" ht="15" hidden="false" customHeight="false" outlineLevel="0" collapsed="false">
      <c r="A958" s="15"/>
      <c r="B958" s="15"/>
      <c r="C958" s="15"/>
      <c r="D958" s="15"/>
      <c r="E958" s="15"/>
      <c r="F958" s="15"/>
      <c r="G958" s="15"/>
      <c r="H958" s="16" t="str">
        <f aca="false">IF(OR(D958="",F958=""),"",IF(D958=F958,"Yes","No"))</f>
        <v/>
      </c>
      <c r="I958" s="15"/>
      <c r="J958" s="15"/>
      <c r="K958" s="15"/>
      <c r="L958" s="15"/>
    </row>
    <row r="959" customFormat="false" ht="15" hidden="false" customHeight="false" outlineLevel="0" collapsed="false">
      <c r="A959" s="15"/>
      <c r="B959" s="15"/>
      <c r="C959" s="15"/>
      <c r="D959" s="15"/>
      <c r="E959" s="15"/>
      <c r="F959" s="15"/>
      <c r="G959" s="15"/>
      <c r="H959" s="16" t="str">
        <f aca="false">IF(OR(D959="",F959=""),"",IF(D959=F959,"Yes","No"))</f>
        <v/>
      </c>
      <c r="I959" s="15"/>
      <c r="J959" s="15"/>
      <c r="K959" s="15"/>
      <c r="L959" s="15"/>
    </row>
    <row r="960" customFormat="false" ht="15" hidden="false" customHeight="false" outlineLevel="0" collapsed="false">
      <c r="A960" s="15"/>
      <c r="B960" s="15"/>
      <c r="C960" s="15"/>
      <c r="D960" s="15"/>
      <c r="E960" s="15"/>
      <c r="F960" s="15"/>
      <c r="G960" s="15"/>
      <c r="H960" s="16" t="str">
        <f aca="false">IF(OR(D960="",F960=""),"",IF(D960=F960,"Yes","No"))</f>
        <v/>
      </c>
      <c r="I960" s="15"/>
      <c r="J960" s="15"/>
      <c r="K960" s="15"/>
      <c r="L960" s="15"/>
    </row>
    <row r="961" customFormat="false" ht="15" hidden="false" customHeight="false" outlineLevel="0" collapsed="false">
      <c r="A961" s="15"/>
      <c r="B961" s="15"/>
      <c r="C961" s="15"/>
      <c r="D961" s="15"/>
      <c r="E961" s="15"/>
      <c r="F961" s="15"/>
      <c r="G961" s="15"/>
      <c r="H961" s="16" t="str">
        <f aca="false">IF(OR(D961="",F961=""),"",IF(D961=F961,"Yes","No"))</f>
        <v/>
      </c>
      <c r="I961" s="15"/>
      <c r="J961" s="15"/>
      <c r="K961" s="15"/>
      <c r="L961" s="15"/>
    </row>
    <row r="962" customFormat="false" ht="15" hidden="false" customHeight="false" outlineLevel="0" collapsed="false">
      <c r="A962" s="15"/>
      <c r="B962" s="15"/>
      <c r="C962" s="15"/>
      <c r="D962" s="15"/>
      <c r="E962" s="15"/>
      <c r="F962" s="15"/>
      <c r="G962" s="15"/>
      <c r="H962" s="16" t="str">
        <f aca="false">IF(OR(D962="",F962=""),"",IF(D962=F962,"Yes","No"))</f>
        <v/>
      </c>
      <c r="I962" s="15"/>
      <c r="J962" s="15"/>
      <c r="K962" s="15"/>
      <c r="L962" s="15"/>
    </row>
    <row r="963" customFormat="false" ht="15" hidden="false" customHeight="false" outlineLevel="0" collapsed="false">
      <c r="A963" s="15"/>
      <c r="B963" s="15"/>
      <c r="C963" s="15"/>
      <c r="D963" s="15"/>
      <c r="E963" s="15"/>
      <c r="F963" s="15"/>
      <c r="G963" s="15"/>
      <c r="H963" s="16" t="str">
        <f aca="false">IF(OR(D963="",F963=""),"",IF(D963=F963,"Yes","No"))</f>
        <v/>
      </c>
      <c r="I963" s="15"/>
      <c r="J963" s="15"/>
      <c r="K963" s="15"/>
      <c r="L963" s="15"/>
    </row>
    <row r="964" customFormat="false" ht="15" hidden="false" customHeight="false" outlineLevel="0" collapsed="false">
      <c r="A964" s="15"/>
      <c r="B964" s="15"/>
      <c r="C964" s="15"/>
      <c r="D964" s="15"/>
      <c r="E964" s="15"/>
      <c r="F964" s="15"/>
      <c r="G964" s="15"/>
      <c r="H964" s="16" t="str">
        <f aca="false">IF(OR(D964="",F964=""),"",IF(D964=F964,"Yes","No"))</f>
        <v/>
      </c>
      <c r="I964" s="15"/>
      <c r="J964" s="15"/>
      <c r="K964" s="15"/>
      <c r="L964" s="15"/>
    </row>
    <row r="965" customFormat="false" ht="15" hidden="false" customHeight="false" outlineLevel="0" collapsed="false">
      <c r="A965" s="15"/>
      <c r="B965" s="15"/>
      <c r="C965" s="15"/>
      <c r="D965" s="15"/>
      <c r="E965" s="15"/>
      <c r="F965" s="15"/>
      <c r="G965" s="15"/>
      <c r="H965" s="16" t="str">
        <f aca="false">IF(OR(D965="",F965=""),"",IF(D965=F965,"Yes","No"))</f>
        <v/>
      </c>
      <c r="I965" s="15"/>
      <c r="J965" s="15"/>
      <c r="K965" s="15"/>
      <c r="L965" s="15"/>
    </row>
    <row r="966" customFormat="false" ht="15" hidden="false" customHeight="false" outlineLevel="0" collapsed="false">
      <c r="A966" s="15"/>
      <c r="B966" s="15"/>
      <c r="C966" s="15"/>
      <c r="D966" s="15"/>
      <c r="E966" s="15"/>
      <c r="F966" s="15"/>
      <c r="G966" s="15"/>
      <c r="H966" s="16" t="str">
        <f aca="false">IF(OR(D966="",F966=""),"",IF(D966=F966,"Yes","No"))</f>
        <v/>
      </c>
      <c r="I966" s="15"/>
      <c r="J966" s="15"/>
      <c r="K966" s="15"/>
      <c r="L966" s="15"/>
    </row>
    <row r="967" customFormat="false" ht="15" hidden="false" customHeight="false" outlineLevel="0" collapsed="false">
      <c r="A967" s="15"/>
      <c r="B967" s="15"/>
      <c r="C967" s="15"/>
      <c r="D967" s="15"/>
      <c r="E967" s="15"/>
      <c r="F967" s="15"/>
      <c r="G967" s="15"/>
      <c r="H967" s="16" t="str">
        <f aca="false">IF(OR(D967="",F967=""),"",IF(D967=F967,"Yes","No"))</f>
        <v/>
      </c>
      <c r="I967" s="15"/>
      <c r="J967" s="15"/>
      <c r="K967" s="15"/>
      <c r="L967" s="15"/>
    </row>
    <row r="968" customFormat="false" ht="15" hidden="false" customHeight="false" outlineLevel="0" collapsed="false">
      <c r="A968" s="15"/>
      <c r="B968" s="15"/>
      <c r="C968" s="15"/>
      <c r="D968" s="15"/>
      <c r="E968" s="15"/>
      <c r="F968" s="15"/>
      <c r="G968" s="15"/>
      <c r="H968" s="16" t="str">
        <f aca="false">IF(OR(D968="",F968=""),"",IF(D968=F968,"Yes","No"))</f>
        <v/>
      </c>
      <c r="I968" s="15"/>
      <c r="J968" s="15"/>
      <c r="K968" s="15"/>
      <c r="L968" s="15"/>
    </row>
    <row r="969" customFormat="false" ht="15" hidden="false" customHeight="false" outlineLevel="0" collapsed="false">
      <c r="A969" s="15"/>
      <c r="B969" s="15"/>
      <c r="C969" s="15"/>
      <c r="D969" s="15"/>
      <c r="E969" s="15"/>
      <c r="F969" s="15"/>
      <c r="G969" s="15"/>
      <c r="H969" s="16" t="str">
        <f aca="false">IF(OR(D969="",F969=""),"",IF(D969=F969,"Yes","No"))</f>
        <v/>
      </c>
      <c r="I969" s="15"/>
      <c r="J969" s="15"/>
      <c r="K969" s="15"/>
      <c r="L969" s="15"/>
    </row>
    <row r="970" customFormat="false" ht="15" hidden="false" customHeight="false" outlineLevel="0" collapsed="false">
      <c r="A970" s="15"/>
      <c r="B970" s="15"/>
      <c r="C970" s="15"/>
      <c r="D970" s="15"/>
      <c r="E970" s="15"/>
      <c r="F970" s="15"/>
      <c r="G970" s="15"/>
      <c r="H970" s="16" t="str">
        <f aca="false">IF(OR(D970="",F970=""),"",IF(D970=F970,"Yes","No"))</f>
        <v/>
      </c>
      <c r="I970" s="15"/>
      <c r="J970" s="15"/>
      <c r="K970" s="15"/>
      <c r="L970" s="15"/>
    </row>
    <row r="971" customFormat="false" ht="15" hidden="false" customHeight="false" outlineLevel="0" collapsed="false">
      <c r="A971" s="15"/>
      <c r="B971" s="15"/>
      <c r="C971" s="15"/>
      <c r="D971" s="15"/>
      <c r="E971" s="15"/>
      <c r="F971" s="15"/>
      <c r="G971" s="15"/>
      <c r="H971" s="16" t="str">
        <f aca="false">IF(OR(D971="",F971=""),"",IF(D971=F971,"Yes","No"))</f>
        <v/>
      </c>
      <c r="I971" s="15"/>
      <c r="J971" s="15"/>
      <c r="K971" s="15"/>
      <c r="L971" s="15"/>
    </row>
    <row r="972" customFormat="false" ht="15" hidden="false" customHeight="false" outlineLevel="0" collapsed="false">
      <c r="A972" s="15"/>
      <c r="B972" s="15"/>
      <c r="C972" s="15"/>
      <c r="D972" s="15"/>
      <c r="E972" s="15"/>
      <c r="F972" s="15"/>
      <c r="G972" s="15"/>
      <c r="H972" s="16" t="str">
        <f aca="false">IF(OR(D972="",F972=""),"",IF(D972=F972,"Yes","No"))</f>
        <v/>
      </c>
      <c r="I972" s="15"/>
      <c r="J972" s="15"/>
      <c r="K972" s="15"/>
      <c r="L972" s="15"/>
    </row>
    <row r="973" customFormat="false" ht="15" hidden="false" customHeight="false" outlineLevel="0" collapsed="false">
      <c r="A973" s="15"/>
      <c r="B973" s="15"/>
      <c r="C973" s="15"/>
      <c r="D973" s="15"/>
      <c r="E973" s="15"/>
      <c r="F973" s="15"/>
      <c r="G973" s="15"/>
      <c r="H973" s="16" t="str">
        <f aca="false">IF(OR(D973="",F973=""),"",IF(D973=F973,"Yes","No"))</f>
        <v/>
      </c>
      <c r="I973" s="15"/>
      <c r="J973" s="15"/>
      <c r="K973" s="15"/>
      <c r="L973" s="15"/>
    </row>
    <row r="974" customFormat="false" ht="15" hidden="false" customHeight="false" outlineLevel="0" collapsed="false">
      <c r="A974" s="15"/>
      <c r="B974" s="15"/>
      <c r="C974" s="15"/>
      <c r="D974" s="15"/>
      <c r="E974" s="15"/>
      <c r="F974" s="15"/>
      <c r="G974" s="15"/>
      <c r="H974" s="16" t="str">
        <f aca="false">IF(OR(D974="",F974=""),"",IF(D974=F974,"Yes","No"))</f>
        <v/>
      </c>
      <c r="I974" s="15"/>
      <c r="J974" s="15"/>
      <c r="K974" s="15"/>
      <c r="L974" s="15"/>
    </row>
    <row r="975" customFormat="false" ht="15" hidden="false" customHeight="false" outlineLevel="0" collapsed="false">
      <c r="A975" s="15"/>
      <c r="B975" s="15"/>
      <c r="C975" s="15"/>
      <c r="D975" s="15"/>
      <c r="E975" s="15"/>
      <c r="F975" s="15"/>
      <c r="G975" s="15"/>
      <c r="H975" s="16" t="str">
        <f aca="false">IF(OR(D975="",F975=""),"",IF(D975=F975,"Yes","No"))</f>
        <v/>
      </c>
      <c r="I975" s="15"/>
      <c r="J975" s="15"/>
      <c r="K975" s="15"/>
      <c r="L975" s="15"/>
    </row>
    <row r="976" customFormat="false" ht="15" hidden="false" customHeight="false" outlineLevel="0" collapsed="false">
      <c r="A976" s="15"/>
      <c r="B976" s="15"/>
      <c r="C976" s="15"/>
      <c r="D976" s="15"/>
      <c r="E976" s="15"/>
      <c r="F976" s="15"/>
      <c r="G976" s="15"/>
      <c r="H976" s="16" t="str">
        <f aca="false">IF(OR(D976="",F976=""),"",IF(D976=F976,"Yes","No"))</f>
        <v/>
      </c>
      <c r="I976" s="15"/>
      <c r="J976" s="15"/>
      <c r="K976" s="15"/>
      <c r="L976" s="15"/>
    </row>
    <row r="977" customFormat="false" ht="15" hidden="false" customHeight="false" outlineLevel="0" collapsed="false">
      <c r="A977" s="15"/>
      <c r="B977" s="15"/>
      <c r="C977" s="15"/>
      <c r="D977" s="15"/>
      <c r="E977" s="15"/>
      <c r="F977" s="15"/>
      <c r="G977" s="15"/>
      <c r="H977" s="16" t="str">
        <f aca="false">IF(OR(D977="",F977=""),"",IF(D977=F977,"Yes","No"))</f>
        <v/>
      </c>
      <c r="I977" s="15"/>
      <c r="J977" s="15"/>
      <c r="K977" s="15"/>
      <c r="L977" s="15"/>
    </row>
    <row r="978" customFormat="false" ht="15" hidden="false" customHeight="false" outlineLevel="0" collapsed="false">
      <c r="A978" s="15"/>
      <c r="B978" s="15"/>
      <c r="C978" s="15"/>
      <c r="D978" s="15"/>
      <c r="E978" s="15"/>
      <c r="F978" s="15"/>
      <c r="G978" s="15"/>
      <c r="H978" s="16" t="str">
        <f aca="false">IF(OR(D978="",F978=""),"",IF(D978=F978,"Yes","No"))</f>
        <v/>
      </c>
      <c r="I978" s="15"/>
      <c r="J978" s="15"/>
      <c r="K978" s="15"/>
      <c r="L978" s="15"/>
    </row>
    <row r="979" customFormat="false" ht="15" hidden="false" customHeight="false" outlineLevel="0" collapsed="false">
      <c r="A979" s="15"/>
      <c r="B979" s="15"/>
      <c r="C979" s="15"/>
      <c r="D979" s="15"/>
      <c r="E979" s="15"/>
      <c r="F979" s="15"/>
      <c r="G979" s="15"/>
      <c r="H979" s="16" t="str">
        <f aca="false">IF(OR(D979="",F979=""),"",IF(D979=F979,"Yes","No"))</f>
        <v/>
      </c>
      <c r="I979" s="15"/>
      <c r="J979" s="15"/>
      <c r="K979" s="15"/>
      <c r="L979" s="15"/>
    </row>
    <row r="980" customFormat="false" ht="15" hidden="false" customHeight="false" outlineLevel="0" collapsed="false">
      <c r="A980" s="15"/>
      <c r="B980" s="15"/>
      <c r="C980" s="15"/>
      <c r="D980" s="15"/>
      <c r="E980" s="15"/>
      <c r="F980" s="15"/>
      <c r="G980" s="15"/>
      <c r="H980" s="16" t="str">
        <f aca="false">IF(OR(D980="",F980=""),"",IF(D980=F980,"Yes","No"))</f>
        <v/>
      </c>
      <c r="I980" s="15"/>
      <c r="J980" s="15"/>
      <c r="K980" s="15"/>
      <c r="L980" s="15"/>
    </row>
    <row r="981" customFormat="false" ht="15" hidden="false" customHeight="false" outlineLevel="0" collapsed="false">
      <c r="A981" s="15"/>
      <c r="B981" s="15"/>
      <c r="C981" s="15"/>
      <c r="D981" s="15"/>
      <c r="E981" s="15"/>
      <c r="F981" s="15"/>
      <c r="G981" s="15"/>
      <c r="H981" s="16" t="str">
        <f aca="false">IF(OR(D981="",F981=""),"",IF(D981=F981,"Yes","No"))</f>
        <v/>
      </c>
      <c r="I981" s="15"/>
      <c r="J981" s="15"/>
      <c r="K981" s="15"/>
      <c r="L981" s="15"/>
    </row>
    <row r="982" customFormat="false" ht="15" hidden="false" customHeight="false" outlineLevel="0" collapsed="false">
      <c r="A982" s="15"/>
      <c r="B982" s="15"/>
      <c r="C982" s="15"/>
      <c r="D982" s="15"/>
      <c r="E982" s="15"/>
      <c r="F982" s="15"/>
      <c r="G982" s="15"/>
      <c r="H982" s="16" t="str">
        <f aca="false">IF(OR(D982="",F982=""),"",IF(D982=F982,"Yes","No"))</f>
        <v/>
      </c>
      <c r="I982" s="15"/>
      <c r="J982" s="15"/>
      <c r="K982" s="15"/>
      <c r="L982" s="15"/>
    </row>
    <row r="983" customFormat="false" ht="15" hidden="false" customHeight="false" outlineLevel="0" collapsed="false">
      <c r="A983" s="15"/>
      <c r="B983" s="15"/>
      <c r="C983" s="15"/>
      <c r="D983" s="15"/>
      <c r="E983" s="15"/>
      <c r="F983" s="15"/>
      <c r="G983" s="15"/>
      <c r="H983" s="16" t="str">
        <f aca="false">IF(OR(D983="",F983=""),"",IF(D983=F983,"Yes","No"))</f>
        <v/>
      </c>
      <c r="I983" s="15"/>
      <c r="J983" s="15"/>
      <c r="K983" s="15"/>
      <c r="L983" s="15"/>
    </row>
    <row r="984" customFormat="false" ht="15" hidden="false" customHeight="false" outlineLevel="0" collapsed="false">
      <c r="A984" s="15"/>
      <c r="B984" s="15"/>
      <c r="C984" s="15"/>
      <c r="D984" s="15"/>
      <c r="E984" s="15"/>
      <c r="F984" s="15"/>
      <c r="G984" s="15"/>
      <c r="H984" s="16" t="str">
        <f aca="false">IF(OR(D984="",F984=""),"",IF(D984=F984,"Yes","No"))</f>
        <v/>
      </c>
      <c r="I984" s="15"/>
      <c r="J984" s="15"/>
      <c r="K984" s="15"/>
      <c r="L984" s="15"/>
    </row>
    <row r="985" customFormat="false" ht="15" hidden="false" customHeight="false" outlineLevel="0" collapsed="false">
      <c r="A985" s="15"/>
      <c r="B985" s="15"/>
      <c r="C985" s="15"/>
      <c r="D985" s="15"/>
      <c r="E985" s="15"/>
      <c r="F985" s="15"/>
      <c r="G985" s="15"/>
      <c r="H985" s="16" t="str">
        <f aca="false">IF(OR(D985="",F985=""),"",IF(D985=F985,"Yes","No"))</f>
        <v/>
      </c>
      <c r="I985" s="15"/>
      <c r="J985" s="15"/>
      <c r="K985" s="15"/>
      <c r="L985" s="15"/>
    </row>
    <row r="986" customFormat="false" ht="15" hidden="false" customHeight="false" outlineLevel="0" collapsed="false">
      <c r="A986" s="15"/>
      <c r="B986" s="15"/>
      <c r="C986" s="15"/>
      <c r="D986" s="15"/>
      <c r="E986" s="15"/>
      <c r="F986" s="15"/>
      <c r="G986" s="15"/>
      <c r="H986" s="16" t="str">
        <f aca="false">IF(OR(D986="",F986=""),"",IF(D986=F986,"Yes","No"))</f>
        <v/>
      </c>
      <c r="I986" s="15"/>
      <c r="J986" s="15"/>
      <c r="K986" s="15"/>
      <c r="L986" s="15"/>
    </row>
    <row r="987" customFormat="false" ht="15" hidden="false" customHeight="false" outlineLevel="0" collapsed="false">
      <c r="A987" s="15"/>
      <c r="B987" s="15"/>
      <c r="C987" s="15"/>
      <c r="D987" s="15"/>
      <c r="E987" s="15"/>
      <c r="F987" s="15"/>
      <c r="G987" s="15"/>
      <c r="H987" s="16" t="str">
        <f aca="false">IF(OR(D987="",F987=""),"",IF(D987=F987,"Yes","No"))</f>
        <v/>
      </c>
      <c r="I987" s="15"/>
      <c r="J987" s="15"/>
      <c r="K987" s="15"/>
      <c r="L987" s="15"/>
    </row>
    <row r="988" customFormat="false" ht="15" hidden="false" customHeight="false" outlineLevel="0" collapsed="false">
      <c r="A988" s="15"/>
      <c r="B988" s="15"/>
      <c r="C988" s="15"/>
      <c r="D988" s="15"/>
      <c r="E988" s="15"/>
      <c r="F988" s="15"/>
      <c r="G988" s="15"/>
      <c r="H988" s="16" t="str">
        <f aca="false">IF(OR(D988="",F988=""),"",IF(D988=F988,"Yes","No"))</f>
        <v/>
      </c>
      <c r="I988" s="15"/>
      <c r="J988" s="15"/>
      <c r="K988" s="15"/>
      <c r="L988" s="15"/>
    </row>
    <row r="989" customFormat="false" ht="15" hidden="false" customHeight="false" outlineLevel="0" collapsed="false">
      <c r="A989" s="15"/>
      <c r="B989" s="15"/>
      <c r="C989" s="15"/>
      <c r="D989" s="15"/>
      <c r="E989" s="15"/>
      <c r="F989" s="15"/>
      <c r="G989" s="15"/>
      <c r="H989" s="16" t="str">
        <f aca="false">IF(OR(D989="",F989=""),"",IF(D989=F989,"Yes","No"))</f>
        <v/>
      </c>
      <c r="I989" s="15"/>
      <c r="J989" s="15"/>
      <c r="K989" s="15"/>
      <c r="L989" s="15"/>
    </row>
    <row r="990" customFormat="false" ht="15" hidden="false" customHeight="false" outlineLevel="0" collapsed="false">
      <c r="A990" s="15"/>
      <c r="B990" s="15"/>
      <c r="C990" s="15"/>
      <c r="D990" s="15"/>
      <c r="E990" s="15"/>
      <c r="F990" s="15"/>
      <c r="G990" s="15"/>
      <c r="H990" s="16" t="str">
        <f aca="false">IF(OR(D990="",F990=""),"",IF(D990=F990,"Yes","No"))</f>
        <v/>
      </c>
      <c r="I990" s="15"/>
      <c r="J990" s="15"/>
      <c r="K990" s="15"/>
      <c r="L990" s="15"/>
    </row>
    <row r="991" customFormat="false" ht="15" hidden="false" customHeight="false" outlineLevel="0" collapsed="false">
      <c r="A991" s="15"/>
      <c r="B991" s="15"/>
      <c r="C991" s="15"/>
      <c r="D991" s="15"/>
      <c r="E991" s="15"/>
      <c r="F991" s="15"/>
      <c r="G991" s="15"/>
      <c r="H991" s="16" t="str">
        <f aca="false">IF(OR(D991="",F991=""),"",IF(D991=F991,"Yes","No"))</f>
        <v/>
      </c>
      <c r="I991" s="15"/>
      <c r="J991" s="15"/>
      <c r="K991" s="15"/>
      <c r="L991" s="15"/>
    </row>
    <row r="992" customFormat="false" ht="15" hidden="false" customHeight="false" outlineLevel="0" collapsed="false">
      <c r="A992" s="15"/>
      <c r="B992" s="15"/>
      <c r="C992" s="15"/>
      <c r="D992" s="15"/>
      <c r="E992" s="15"/>
      <c r="F992" s="15"/>
      <c r="G992" s="15"/>
      <c r="H992" s="16" t="str">
        <f aca="false">IF(OR(D992="",F992=""),"",IF(D992=F992,"Yes","No"))</f>
        <v/>
      </c>
      <c r="I992" s="15"/>
      <c r="J992" s="15"/>
      <c r="K992" s="15"/>
      <c r="L992" s="15"/>
    </row>
    <row r="993" customFormat="false" ht="15" hidden="false" customHeight="false" outlineLevel="0" collapsed="false">
      <c r="A993" s="15"/>
      <c r="B993" s="15"/>
      <c r="C993" s="15"/>
      <c r="D993" s="15"/>
      <c r="E993" s="15"/>
      <c r="F993" s="15"/>
      <c r="G993" s="15"/>
      <c r="H993" s="16" t="str">
        <f aca="false">IF(OR(D993="",F993=""),"",IF(D993=F993,"Yes","No"))</f>
        <v/>
      </c>
      <c r="I993" s="15"/>
      <c r="J993" s="15"/>
      <c r="K993" s="15"/>
      <c r="L993" s="15"/>
    </row>
    <row r="994" customFormat="false" ht="15" hidden="false" customHeight="false" outlineLevel="0" collapsed="false">
      <c r="A994" s="15"/>
      <c r="B994" s="15"/>
      <c r="C994" s="15"/>
      <c r="D994" s="15"/>
      <c r="E994" s="15"/>
      <c r="F994" s="15"/>
      <c r="G994" s="15"/>
      <c r="H994" s="16" t="str">
        <f aca="false">IF(OR(D994="",F994=""),"",IF(D994=F994,"Yes","No"))</f>
        <v/>
      </c>
      <c r="I994" s="15"/>
      <c r="J994" s="15"/>
      <c r="K994" s="15"/>
      <c r="L994" s="15"/>
    </row>
    <row r="995" customFormat="false" ht="15" hidden="false" customHeight="false" outlineLevel="0" collapsed="false">
      <c r="A995" s="15"/>
      <c r="B995" s="15"/>
      <c r="C995" s="15"/>
      <c r="D995" s="15"/>
      <c r="E995" s="15"/>
      <c r="F995" s="15"/>
      <c r="G995" s="15"/>
      <c r="H995" s="16" t="str">
        <f aca="false">IF(OR(D995="",F995=""),"",IF(D995=F995,"Yes","No"))</f>
        <v/>
      </c>
      <c r="I995" s="15"/>
      <c r="J995" s="15"/>
      <c r="K995" s="15"/>
      <c r="L995" s="15"/>
    </row>
    <row r="996" customFormat="false" ht="15" hidden="false" customHeight="false" outlineLevel="0" collapsed="false">
      <c r="A996" s="15"/>
      <c r="B996" s="15"/>
      <c r="C996" s="15"/>
      <c r="D996" s="15"/>
      <c r="E996" s="15"/>
      <c r="F996" s="15"/>
      <c r="G996" s="15"/>
      <c r="H996" s="16" t="str">
        <f aca="false">IF(OR(D996="",F996=""),"",IF(D996=F996,"Yes","No"))</f>
        <v/>
      </c>
      <c r="I996" s="15"/>
      <c r="J996" s="15"/>
      <c r="K996" s="15"/>
      <c r="L996" s="15"/>
    </row>
    <row r="997" customFormat="false" ht="15" hidden="false" customHeight="false" outlineLevel="0" collapsed="false">
      <c r="A997" s="15"/>
      <c r="B997" s="15"/>
      <c r="C997" s="15"/>
      <c r="D997" s="15"/>
      <c r="E997" s="15"/>
      <c r="F997" s="15"/>
      <c r="G997" s="15"/>
      <c r="H997" s="16" t="str">
        <f aca="false">IF(OR(D997="",F997=""),"",IF(D997=F997,"Yes","No"))</f>
        <v/>
      </c>
      <c r="I997" s="15"/>
      <c r="J997" s="15"/>
      <c r="K997" s="15"/>
      <c r="L997" s="15"/>
    </row>
    <row r="998" customFormat="false" ht="15" hidden="false" customHeight="false" outlineLevel="0" collapsed="false">
      <c r="A998" s="15"/>
      <c r="B998" s="15"/>
      <c r="C998" s="15"/>
      <c r="D998" s="15"/>
      <c r="E998" s="15"/>
      <c r="F998" s="15"/>
      <c r="G998" s="15"/>
      <c r="H998" s="16" t="str">
        <f aca="false">IF(OR(D998="",F998=""),"",IF(D998=F998,"Yes","No"))</f>
        <v/>
      </c>
      <c r="I998" s="15"/>
      <c r="J998" s="15"/>
      <c r="K998" s="15"/>
      <c r="L998" s="15"/>
    </row>
    <row r="999" customFormat="false" ht="15" hidden="false" customHeight="false" outlineLevel="0" collapsed="false">
      <c r="A999" s="15"/>
      <c r="B999" s="15"/>
      <c r="C999" s="15"/>
      <c r="D999" s="15"/>
      <c r="E999" s="15"/>
      <c r="F999" s="15"/>
      <c r="G999" s="15"/>
      <c r="H999" s="16" t="str">
        <f aca="false">IF(OR(D999="",F999=""),"",IF(D999=F999,"Yes","No"))</f>
        <v/>
      </c>
      <c r="I999" s="15"/>
      <c r="J999" s="15"/>
      <c r="K999" s="15"/>
      <c r="L999" s="15"/>
    </row>
    <row r="1000" customFormat="false" ht="15" hidden="false" customHeight="false" outlineLevel="0" collapsed="false">
      <c r="A1000" s="15"/>
      <c r="B1000" s="15"/>
      <c r="C1000" s="15"/>
      <c r="D1000" s="15"/>
      <c r="E1000" s="15"/>
      <c r="F1000" s="15"/>
      <c r="G1000" s="15"/>
      <c r="H1000" s="16" t="str">
        <f aca="false">IF(OR(D1000="",F1000=""),"",IF(D1000=F1000,"Yes","No"))</f>
        <v/>
      </c>
      <c r="I1000" s="15"/>
      <c r="J1000" s="15"/>
      <c r="K1000" s="15"/>
      <c r="L1000" s="15"/>
    </row>
  </sheetData>
  <conditionalFormatting sqref="H5:H1000">
    <cfRule type="cellIs" priority="2" operator="equal" aboveAverage="0" equalAverage="0" bottom="0" percent="0" rank="0" text="" dxfId="0">
      <formula>"No"</formula>
    </cfRule>
  </conditionalFormatting>
  <dataValidations count="2">
    <dataValidation allowBlank="true" errorStyle="stop" operator="between" showDropDown="false" showErrorMessage="false" showInputMessage="false" sqref="D5:D1000 F5:F1000 I5:I1000" type="list">
      <formula1>Lists!$A$2:$A$4</formula1>
      <formula2>0</formula2>
    </dataValidation>
    <dataValidation allowBlank="true" errorStyle="stop" operator="between" showDropDown="false" showErrorMessage="false" showInputMessage="false" sqref="E5:E1000 G5:G1000 J5:J1000" type="list">
      <formula1>Lists!$B$2:$B$12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5.05" hidden="false" customHeight="false" outlineLevel="0" collapsed="false">
      <c r="A3" s="9" t="s">
        <v>103</v>
      </c>
      <c r="B3" s="9" t="s">
        <v>107</v>
      </c>
      <c r="C3" s="9" t="s">
        <v>140</v>
      </c>
      <c r="D3" s="9" t="s">
        <v>141</v>
      </c>
      <c r="E3" s="9" t="s">
        <v>127</v>
      </c>
      <c r="F3" s="9" t="s">
        <v>129</v>
      </c>
      <c r="G3" s="9" t="s">
        <v>131</v>
      </c>
      <c r="H3" s="9" t="s">
        <v>132</v>
      </c>
      <c r="I3" s="9" t="s">
        <v>142</v>
      </c>
      <c r="J3" s="9" t="s">
        <v>134</v>
      </c>
      <c r="K3" s="9" t="s">
        <v>135</v>
      </c>
    </row>
    <row r="4" customFormat="false" ht="15" hidden="false" customHeight="false" outlineLevel="0" collapsed="false">
      <c r="A4" s="13" t="s">
        <v>116</v>
      </c>
      <c r="B4" s="13" t="s">
        <v>119</v>
      </c>
      <c r="C4" s="13" t="s">
        <v>143</v>
      </c>
      <c r="D4" s="13" t="s">
        <v>124</v>
      </c>
      <c r="E4" s="13" t="s">
        <v>136</v>
      </c>
      <c r="F4" s="13" t="s">
        <v>136</v>
      </c>
      <c r="G4" s="13" t="str">
        <f aca="false">IF(OR(E4="",F4=""),"",IF(E4=F4,"Yes","No"))</f>
        <v>Yes</v>
      </c>
      <c r="H4" s="13" t="s">
        <v>136</v>
      </c>
      <c r="I4" s="13"/>
      <c r="J4" s="13"/>
      <c r="K4" s="13" t="s">
        <v>144</v>
      </c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6" t="str">
        <f aca="false">IF(OR(E5="",F5=""),"",IF(E5=F5,"Yes","No"))</f>
        <v/>
      </c>
      <c r="H5" s="15"/>
      <c r="I5" s="15"/>
      <c r="J5" s="15"/>
      <c r="K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6" t="str">
        <f aca="false">IF(OR(E6="",F6=""),"",IF(E6=F6,"Yes","No"))</f>
        <v/>
      </c>
      <c r="H6" s="15"/>
      <c r="I6" s="15"/>
      <c r="J6" s="15"/>
      <c r="K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6" t="str">
        <f aca="false">IF(OR(E7="",F7=""),"",IF(E7=F7,"Yes","No"))</f>
        <v/>
      </c>
      <c r="H7" s="15"/>
      <c r="I7" s="15"/>
      <c r="J7" s="15"/>
      <c r="K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6" t="str">
        <f aca="false">IF(OR(E8="",F8=""),"",IF(E8=F8,"Yes","No"))</f>
        <v/>
      </c>
      <c r="H8" s="15"/>
      <c r="I8" s="15"/>
      <c r="J8" s="15"/>
      <c r="K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6" t="str">
        <f aca="false">IF(OR(E9="",F9=""),"",IF(E9=F9,"Yes","No"))</f>
        <v/>
      </c>
      <c r="H9" s="15"/>
      <c r="I9" s="15"/>
      <c r="J9" s="15"/>
      <c r="K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6" t="str">
        <f aca="false">IF(OR(E10="",F10=""),"",IF(E10=F10,"Yes","No"))</f>
        <v/>
      </c>
      <c r="H10" s="15"/>
      <c r="I10" s="15"/>
      <c r="J10" s="15"/>
      <c r="K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6" t="str">
        <f aca="false">IF(OR(E11="",F11=""),"",IF(E11=F11,"Yes","No"))</f>
        <v/>
      </c>
      <c r="H11" s="15"/>
      <c r="I11" s="15"/>
      <c r="J11" s="15"/>
      <c r="K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6" t="str">
        <f aca="false">IF(OR(E12="",F12=""),"",IF(E12=F12,"Yes","No"))</f>
        <v/>
      </c>
      <c r="H12" s="15"/>
      <c r="I12" s="15"/>
      <c r="J12" s="15"/>
      <c r="K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6" t="str">
        <f aca="false">IF(OR(E13="",F13=""),"",IF(E13=F13,"Yes","No"))</f>
        <v/>
      </c>
      <c r="H13" s="15"/>
      <c r="I13" s="15"/>
      <c r="J13" s="15"/>
      <c r="K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6" t="str">
        <f aca="false">IF(OR(E14="",F14=""),"",IF(E14=F14,"Yes","No"))</f>
        <v/>
      </c>
      <c r="H14" s="15"/>
      <c r="I14" s="15"/>
      <c r="J14" s="15"/>
      <c r="K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6" t="str">
        <f aca="false">IF(OR(E15="",F15=""),"",IF(E15=F15,"Yes","No"))</f>
        <v/>
      </c>
      <c r="H15" s="15"/>
      <c r="I15" s="15"/>
      <c r="J15" s="15"/>
      <c r="K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6" t="str">
        <f aca="false">IF(OR(E16="",F16=""),"",IF(E16=F16,"Yes","No"))</f>
        <v/>
      </c>
      <c r="H16" s="15"/>
      <c r="I16" s="15"/>
      <c r="J16" s="15"/>
      <c r="K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6" t="str">
        <f aca="false">IF(OR(E17="",F17=""),"",IF(E17=F17,"Yes","No"))</f>
        <v/>
      </c>
      <c r="H17" s="15"/>
      <c r="I17" s="15"/>
      <c r="J17" s="15"/>
      <c r="K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6" t="str">
        <f aca="false">IF(OR(E18="",F18=""),"",IF(E18=F18,"Yes","No"))</f>
        <v/>
      </c>
      <c r="H18" s="15"/>
      <c r="I18" s="15"/>
      <c r="J18" s="15"/>
      <c r="K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6" t="str">
        <f aca="false">IF(OR(E19="",F19=""),"",IF(E19=F19,"Yes","No"))</f>
        <v/>
      </c>
      <c r="H19" s="15"/>
      <c r="I19" s="15"/>
      <c r="J19" s="15"/>
      <c r="K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6" t="str">
        <f aca="false">IF(OR(E20="",F20=""),"",IF(E20=F20,"Yes","No"))</f>
        <v/>
      </c>
      <c r="H20" s="15"/>
      <c r="I20" s="15"/>
      <c r="J20" s="15"/>
      <c r="K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6" t="str">
        <f aca="false">IF(OR(E21="",F21=""),"",IF(E21=F21,"Yes","No"))</f>
        <v/>
      </c>
      <c r="H21" s="15"/>
      <c r="I21" s="15"/>
      <c r="J21" s="15"/>
      <c r="K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6" t="str">
        <f aca="false">IF(OR(E22="",F22=""),"",IF(E22=F22,"Yes","No"))</f>
        <v/>
      </c>
      <c r="H22" s="15"/>
      <c r="I22" s="15"/>
      <c r="J22" s="15"/>
      <c r="K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6" t="str">
        <f aca="false">IF(OR(E23="",F23=""),"",IF(E23=F23,"Yes","No"))</f>
        <v/>
      </c>
      <c r="H23" s="15"/>
      <c r="I23" s="15"/>
      <c r="J23" s="15"/>
      <c r="K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6" t="str">
        <f aca="false">IF(OR(E24="",F24=""),"",IF(E24=F24,"Yes","No"))</f>
        <v/>
      </c>
      <c r="H24" s="15"/>
      <c r="I24" s="15"/>
      <c r="J24" s="15"/>
      <c r="K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6" t="str">
        <f aca="false">IF(OR(E25="",F25=""),"",IF(E25=F25,"Yes","No"))</f>
        <v/>
      </c>
      <c r="H25" s="15"/>
      <c r="I25" s="15"/>
      <c r="J25" s="15"/>
      <c r="K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6" t="str">
        <f aca="false">IF(OR(E26="",F26=""),"",IF(E26=F26,"Yes","No"))</f>
        <v/>
      </c>
      <c r="H26" s="15"/>
      <c r="I26" s="15"/>
      <c r="J26" s="15"/>
      <c r="K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6" t="str">
        <f aca="false">IF(OR(E27="",F27=""),"",IF(E27=F27,"Yes","No"))</f>
        <v/>
      </c>
      <c r="H27" s="15"/>
      <c r="I27" s="15"/>
      <c r="J27" s="15"/>
      <c r="K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6" t="str">
        <f aca="false">IF(OR(E28="",F28=""),"",IF(E28=F28,"Yes","No"))</f>
        <v/>
      </c>
      <c r="H28" s="15"/>
      <c r="I28" s="15"/>
      <c r="J28" s="15"/>
      <c r="K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6" t="str">
        <f aca="false">IF(OR(E29="",F29=""),"",IF(E29=F29,"Yes","No"))</f>
        <v/>
      </c>
      <c r="H29" s="15"/>
      <c r="I29" s="15"/>
      <c r="J29" s="15"/>
      <c r="K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6" t="str">
        <f aca="false">IF(OR(E30="",F30=""),"",IF(E30=F30,"Yes","No"))</f>
        <v/>
      </c>
      <c r="H30" s="15"/>
      <c r="I30" s="15"/>
      <c r="J30" s="15"/>
      <c r="K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6" t="str">
        <f aca="false">IF(OR(E31="",F31=""),"",IF(E31=F31,"Yes","No"))</f>
        <v/>
      </c>
      <c r="H31" s="15"/>
      <c r="I31" s="15"/>
      <c r="J31" s="15"/>
      <c r="K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6" t="str">
        <f aca="false">IF(OR(E32="",F32=""),"",IF(E32=F32,"Yes","No"))</f>
        <v/>
      </c>
      <c r="H32" s="15"/>
      <c r="I32" s="15"/>
      <c r="J32" s="15"/>
      <c r="K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6" t="str">
        <f aca="false">IF(OR(E33="",F33=""),"",IF(E33=F33,"Yes","No"))</f>
        <v/>
      </c>
      <c r="H33" s="15"/>
      <c r="I33" s="15"/>
      <c r="J33" s="15"/>
      <c r="K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6" t="str">
        <f aca="false">IF(OR(E34="",F34=""),"",IF(E34=F34,"Yes","No"))</f>
        <v/>
      </c>
      <c r="H34" s="15"/>
      <c r="I34" s="15"/>
      <c r="J34" s="15"/>
      <c r="K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6" t="str">
        <f aca="false">IF(OR(E35="",F35=""),"",IF(E35=F35,"Yes","No"))</f>
        <v/>
      </c>
      <c r="H35" s="15"/>
      <c r="I35" s="15"/>
      <c r="J35" s="15"/>
      <c r="K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6" t="str">
        <f aca="false">IF(OR(E36="",F36=""),"",IF(E36=F36,"Yes","No"))</f>
        <v/>
      </c>
      <c r="H36" s="15"/>
      <c r="I36" s="15"/>
      <c r="J36" s="15"/>
      <c r="K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6" t="str">
        <f aca="false">IF(OR(E37="",F37=""),"",IF(E37=F37,"Yes","No"))</f>
        <v/>
      </c>
      <c r="H37" s="15"/>
      <c r="I37" s="15"/>
      <c r="J37" s="15"/>
      <c r="K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6" t="str">
        <f aca="false">IF(OR(E38="",F38=""),"",IF(E38=F38,"Yes","No"))</f>
        <v/>
      </c>
      <c r="H38" s="15"/>
      <c r="I38" s="15"/>
      <c r="J38" s="15"/>
      <c r="K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6" t="str">
        <f aca="false">IF(OR(E39="",F39=""),"",IF(E39=F39,"Yes","No"))</f>
        <v/>
      </c>
      <c r="H39" s="15"/>
      <c r="I39" s="15"/>
      <c r="J39" s="15"/>
      <c r="K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6" t="str">
        <f aca="false">IF(OR(E40="",F40=""),"",IF(E40=F40,"Yes","No"))</f>
        <v/>
      </c>
      <c r="H40" s="15"/>
      <c r="I40" s="15"/>
      <c r="J40" s="15"/>
      <c r="K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6" t="str">
        <f aca="false">IF(OR(E41="",F41=""),"",IF(E41=F41,"Yes","No"))</f>
        <v/>
      </c>
      <c r="H41" s="15"/>
      <c r="I41" s="15"/>
      <c r="J41" s="15"/>
      <c r="K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6" t="str">
        <f aca="false">IF(OR(E42="",F42=""),"",IF(E42=F42,"Yes","No"))</f>
        <v/>
      </c>
      <c r="H42" s="15"/>
      <c r="I42" s="15"/>
      <c r="J42" s="15"/>
      <c r="K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6" t="str">
        <f aca="false">IF(OR(E43="",F43=""),"",IF(E43=F43,"Yes","No"))</f>
        <v/>
      </c>
      <c r="H43" s="15"/>
      <c r="I43" s="15"/>
      <c r="J43" s="15"/>
      <c r="K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6" t="str">
        <f aca="false">IF(OR(E44="",F44=""),"",IF(E44=F44,"Yes","No"))</f>
        <v/>
      </c>
      <c r="H44" s="15"/>
      <c r="I44" s="15"/>
      <c r="J44" s="15"/>
      <c r="K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6" t="str">
        <f aca="false">IF(OR(E45="",F45=""),"",IF(E45=F45,"Yes","No"))</f>
        <v/>
      </c>
      <c r="H45" s="15"/>
      <c r="I45" s="15"/>
      <c r="J45" s="15"/>
      <c r="K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6" t="str">
        <f aca="false">IF(OR(E46="",F46=""),"",IF(E46=F46,"Yes","No"))</f>
        <v/>
      </c>
      <c r="H46" s="15"/>
      <c r="I46" s="15"/>
      <c r="J46" s="15"/>
      <c r="K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6" t="str">
        <f aca="false">IF(OR(E47="",F47=""),"",IF(E47=F47,"Yes","No"))</f>
        <v/>
      </c>
      <c r="H47" s="15"/>
      <c r="I47" s="15"/>
      <c r="J47" s="15"/>
      <c r="K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6" t="str">
        <f aca="false">IF(OR(E48="",F48=""),"",IF(E48=F48,"Yes","No"))</f>
        <v/>
      </c>
      <c r="H48" s="15"/>
      <c r="I48" s="15"/>
      <c r="J48" s="15"/>
      <c r="K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6" t="str">
        <f aca="false">IF(OR(E49="",F49=""),"",IF(E49=F49,"Yes","No"))</f>
        <v/>
      </c>
      <c r="H49" s="15"/>
      <c r="I49" s="15"/>
      <c r="J49" s="15"/>
      <c r="K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6" t="str">
        <f aca="false">IF(OR(E50="",F50=""),"",IF(E50=F50,"Yes","No"))</f>
        <v/>
      </c>
      <c r="H50" s="15"/>
      <c r="I50" s="15"/>
      <c r="J50" s="15"/>
      <c r="K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6" t="str">
        <f aca="false">IF(OR(E51="",F51=""),"",IF(E51=F51,"Yes","No"))</f>
        <v/>
      </c>
      <c r="H51" s="15"/>
      <c r="I51" s="15"/>
      <c r="J51" s="15"/>
      <c r="K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6" t="str">
        <f aca="false">IF(OR(E52="",F52=""),"",IF(E52=F52,"Yes","No"))</f>
        <v/>
      </c>
      <c r="H52" s="15"/>
      <c r="I52" s="15"/>
      <c r="J52" s="15"/>
      <c r="K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6" t="str">
        <f aca="false">IF(OR(E53="",F53=""),"",IF(E53=F53,"Yes","No"))</f>
        <v/>
      </c>
      <c r="H53" s="15"/>
      <c r="I53" s="15"/>
      <c r="J53" s="15"/>
      <c r="K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6" t="str">
        <f aca="false">IF(OR(E54="",F54=""),"",IF(E54=F54,"Yes","No"))</f>
        <v/>
      </c>
      <c r="H54" s="15"/>
      <c r="I54" s="15"/>
      <c r="J54" s="15"/>
      <c r="K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6" t="str">
        <f aca="false">IF(OR(E55="",F55=""),"",IF(E55=F55,"Yes","No"))</f>
        <v/>
      </c>
      <c r="H55" s="15"/>
      <c r="I55" s="15"/>
      <c r="J55" s="15"/>
      <c r="K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6" t="str">
        <f aca="false">IF(OR(E56="",F56=""),"",IF(E56=F56,"Yes","No"))</f>
        <v/>
      </c>
      <c r="H56" s="15"/>
      <c r="I56" s="15"/>
      <c r="J56" s="15"/>
      <c r="K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6" t="str">
        <f aca="false">IF(OR(E57="",F57=""),"",IF(E57=F57,"Yes","No"))</f>
        <v/>
      </c>
      <c r="H57" s="15"/>
      <c r="I57" s="15"/>
      <c r="J57" s="15"/>
      <c r="K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6" t="str">
        <f aca="false">IF(OR(E58="",F58=""),"",IF(E58=F58,"Yes","No"))</f>
        <v/>
      </c>
      <c r="H58" s="15"/>
      <c r="I58" s="15"/>
      <c r="J58" s="15"/>
      <c r="K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6" t="str">
        <f aca="false">IF(OR(E59="",F59=""),"",IF(E59=F59,"Yes","No"))</f>
        <v/>
      </c>
      <c r="H59" s="15"/>
      <c r="I59" s="15"/>
      <c r="J59" s="15"/>
      <c r="K59" s="15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6" t="str">
        <f aca="false">IF(OR(E60="",F60=""),"",IF(E60=F60,"Yes","No"))</f>
        <v/>
      </c>
      <c r="H60" s="15"/>
      <c r="I60" s="15"/>
      <c r="J60" s="15"/>
      <c r="K60" s="15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6" t="str">
        <f aca="false">IF(OR(E61="",F61=""),"",IF(E61=F61,"Yes","No"))</f>
        <v/>
      </c>
      <c r="H61" s="15"/>
      <c r="I61" s="15"/>
      <c r="J61" s="15"/>
      <c r="K61" s="15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6" t="str">
        <f aca="false">IF(OR(E62="",F62=""),"",IF(E62=F62,"Yes","No"))</f>
        <v/>
      </c>
      <c r="H62" s="15"/>
      <c r="I62" s="15"/>
      <c r="J62" s="15"/>
      <c r="K62" s="15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6" t="str">
        <f aca="false">IF(OR(E63="",F63=""),"",IF(E63=F63,"Yes","No"))</f>
        <v/>
      </c>
      <c r="H63" s="15"/>
      <c r="I63" s="15"/>
      <c r="J63" s="15"/>
      <c r="K63" s="15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6" t="str">
        <f aca="false">IF(OR(E64="",F64=""),"",IF(E64=F64,"Yes","No"))</f>
        <v/>
      </c>
      <c r="H64" s="15"/>
      <c r="I64" s="15"/>
      <c r="J64" s="15"/>
      <c r="K64" s="15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6" t="str">
        <f aca="false">IF(OR(E65="",F65=""),"",IF(E65=F65,"Yes","No"))</f>
        <v/>
      </c>
      <c r="H65" s="15"/>
      <c r="I65" s="15"/>
      <c r="J65" s="15"/>
      <c r="K65" s="15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6" t="str">
        <f aca="false">IF(OR(E66="",F66=""),"",IF(E66=F66,"Yes","No"))</f>
        <v/>
      </c>
      <c r="H66" s="15"/>
      <c r="I66" s="15"/>
      <c r="J66" s="15"/>
      <c r="K66" s="15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6" t="str">
        <f aca="false">IF(OR(E67="",F67=""),"",IF(E67=F67,"Yes","No"))</f>
        <v/>
      </c>
      <c r="H67" s="15"/>
      <c r="I67" s="15"/>
      <c r="J67" s="15"/>
      <c r="K67" s="15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6" t="str">
        <f aca="false">IF(OR(E68="",F68=""),"",IF(E68=F68,"Yes","No"))</f>
        <v/>
      </c>
      <c r="H68" s="15"/>
      <c r="I68" s="15"/>
      <c r="J68" s="15"/>
      <c r="K68" s="15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6" t="str">
        <f aca="false">IF(OR(E69="",F69=""),"",IF(E69=F69,"Yes","No"))</f>
        <v/>
      </c>
      <c r="H69" s="15"/>
      <c r="I69" s="15"/>
      <c r="J69" s="15"/>
      <c r="K69" s="15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6" t="str">
        <f aca="false">IF(OR(E70="",F70=""),"",IF(E70=F70,"Yes","No"))</f>
        <v/>
      </c>
      <c r="H70" s="15"/>
      <c r="I70" s="15"/>
      <c r="J70" s="15"/>
      <c r="K70" s="15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6" t="str">
        <f aca="false">IF(OR(E71="",F71=""),"",IF(E71=F71,"Yes","No"))</f>
        <v/>
      </c>
      <c r="H71" s="15"/>
      <c r="I71" s="15"/>
      <c r="J71" s="15"/>
      <c r="K71" s="15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6" t="str">
        <f aca="false">IF(OR(E72="",F72=""),"",IF(E72=F72,"Yes","No"))</f>
        <v/>
      </c>
      <c r="H72" s="15"/>
      <c r="I72" s="15"/>
      <c r="J72" s="15"/>
      <c r="K72" s="15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6" t="str">
        <f aca="false">IF(OR(E73="",F73=""),"",IF(E73=F73,"Yes","No"))</f>
        <v/>
      </c>
      <c r="H73" s="15"/>
      <c r="I73" s="15"/>
      <c r="J73" s="15"/>
      <c r="K73" s="15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6" t="str">
        <f aca="false">IF(OR(E74="",F74=""),"",IF(E74=F74,"Yes","No"))</f>
        <v/>
      </c>
      <c r="H74" s="15"/>
      <c r="I74" s="15"/>
      <c r="J74" s="15"/>
      <c r="K74" s="15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6" t="str">
        <f aca="false">IF(OR(E75="",F75=""),"",IF(E75=F75,"Yes","No"))</f>
        <v/>
      </c>
      <c r="H75" s="15"/>
      <c r="I75" s="15"/>
      <c r="J75" s="15"/>
      <c r="K75" s="15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6" t="str">
        <f aca="false">IF(OR(E76="",F76=""),"",IF(E76=F76,"Yes","No"))</f>
        <v/>
      </c>
      <c r="H76" s="15"/>
      <c r="I76" s="15"/>
      <c r="J76" s="15"/>
      <c r="K76" s="15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6" t="str">
        <f aca="false">IF(OR(E77="",F77=""),"",IF(E77=F77,"Yes","No"))</f>
        <v/>
      </c>
      <c r="H77" s="15"/>
      <c r="I77" s="15"/>
      <c r="J77" s="15"/>
      <c r="K77" s="15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6" t="str">
        <f aca="false">IF(OR(E78="",F78=""),"",IF(E78=F78,"Yes","No"))</f>
        <v/>
      </c>
      <c r="H78" s="15"/>
      <c r="I78" s="15"/>
      <c r="J78" s="15"/>
      <c r="K78" s="15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6" t="str">
        <f aca="false">IF(OR(E79="",F79=""),"",IF(E79=F79,"Yes","No"))</f>
        <v/>
      </c>
      <c r="H79" s="15"/>
      <c r="I79" s="15"/>
      <c r="J79" s="15"/>
      <c r="K79" s="15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6" t="str">
        <f aca="false">IF(OR(E80="",F80=""),"",IF(E80=F80,"Yes","No"))</f>
        <v/>
      </c>
      <c r="H80" s="15"/>
      <c r="I80" s="15"/>
      <c r="J80" s="15"/>
      <c r="K80" s="15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6" t="str">
        <f aca="false">IF(OR(E81="",F81=""),"",IF(E81=F81,"Yes","No"))</f>
        <v/>
      </c>
      <c r="H81" s="15"/>
      <c r="I81" s="15"/>
      <c r="J81" s="15"/>
      <c r="K81" s="15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6" t="str">
        <f aca="false">IF(OR(E82="",F82=""),"",IF(E82=F82,"Yes","No"))</f>
        <v/>
      </c>
      <c r="H82" s="15"/>
      <c r="I82" s="15"/>
      <c r="J82" s="15"/>
      <c r="K82" s="15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6" t="str">
        <f aca="false">IF(OR(E83="",F83=""),"",IF(E83=F83,"Yes","No"))</f>
        <v/>
      </c>
      <c r="H83" s="15"/>
      <c r="I83" s="15"/>
      <c r="J83" s="15"/>
      <c r="K83" s="15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6" t="str">
        <f aca="false">IF(OR(E84="",F84=""),"",IF(E84=F84,"Yes","No"))</f>
        <v/>
      </c>
      <c r="H84" s="15"/>
      <c r="I84" s="15"/>
      <c r="J84" s="15"/>
      <c r="K84" s="15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6" t="str">
        <f aca="false">IF(OR(E85="",F85=""),"",IF(E85=F85,"Yes","No"))</f>
        <v/>
      </c>
      <c r="H85" s="15"/>
      <c r="I85" s="15"/>
      <c r="J85" s="15"/>
      <c r="K85" s="15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6" t="str">
        <f aca="false">IF(OR(E86="",F86=""),"",IF(E86=F86,"Yes","No"))</f>
        <v/>
      </c>
      <c r="H86" s="15"/>
      <c r="I86" s="15"/>
      <c r="J86" s="15"/>
      <c r="K86" s="15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6" t="str">
        <f aca="false">IF(OR(E87="",F87=""),"",IF(E87=F87,"Yes","No"))</f>
        <v/>
      </c>
      <c r="H87" s="15"/>
      <c r="I87" s="15"/>
      <c r="J87" s="15"/>
      <c r="K87" s="15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6" t="str">
        <f aca="false">IF(OR(E88="",F88=""),"",IF(E88=F88,"Yes","No"))</f>
        <v/>
      </c>
      <c r="H88" s="15"/>
      <c r="I88" s="15"/>
      <c r="J88" s="15"/>
      <c r="K88" s="15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6" t="str">
        <f aca="false">IF(OR(E89="",F89=""),"",IF(E89=F89,"Yes","No"))</f>
        <v/>
      </c>
      <c r="H89" s="15"/>
      <c r="I89" s="15"/>
      <c r="J89" s="15"/>
      <c r="K89" s="15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6" t="str">
        <f aca="false">IF(OR(E90="",F90=""),"",IF(E90=F90,"Yes","No"))</f>
        <v/>
      </c>
      <c r="H90" s="15"/>
      <c r="I90" s="15"/>
      <c r="J90" s="15"/>
      <c r="K90" s="15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6" t="str">
        <f aca="false">IF(OR(E91="",F91=""),"",IF(E91=F91,"Yes","No"))</f>
        <v/>
      </c>
      <c r="H91" s="15"/>
      <c r="I91" s="15"/>
      <c r="J91" s="15"/>
      <c r="K91" s="15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6" t="str">
        <f aca="false">IF(OR(E92="",F92=""),"",IF(E92=F92,"Yes","No"))</f>
        <v/>
      </c>
      <c r="H92" s="15"/>
      <c r="I92" s="15"/>
      <c r="J92" s="15"/>
      <c r="K92" s="15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6" t="str">
        <f aca="false">IF(OR(E93="",F93=""),"",IF(E93=F93,"Yes","No"))</f>
        <v/>
      </c>
      <c r="H93" s="15"/>
      <c r="I93" s="15"/>
      <c r="J93" s="15"/>
      <c r="K93" s="15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6" t="str">
        <f aca="false">IF(OR(E94="",F94=""),"",IF(E94=F94,"Yes","No"))</f>
        <v/>
      </c>
      <c r="H94" s="15"/>
      <c r="I94" s="15"/>
      <c r="J94" s="15"/>
      <c r="K94" s="15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6" t="str">
        <f aca="false">IF(OR(E95="",F95=""),"",IF(E95=F95,"Yes","No"))</f>
        <v/>
      </c>
      <c r="H95" s="15"/>
      <c r="I95" s="15"/>
      <c r="J95" s="15"/>
      <c r="K95" s="15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6" t="str">
        <f aca="false">IF(OR(E96="",F96=""),"",IF(E96=F96,"Yes","No"))</f>
        <v/>
      </c>
      <c r="H96" s="15"/>
      <c r="I96" s="15"/>
      <c r="J96" s="15"/>
      <c r="K96" s="15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6" t="str">
        <f aca="false">IF(OR(E97="",F97=""),"",IF(E97=F97,"Yes","No"))</f>
        <v/>
      </c>
      <c r="H97" s="15"/>
      <c r="I97" s="15"/>
      <c r="J97" s="15"/>
      <c r="K97" s="15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6" t="str">
        <f aca="false">IF(OR(E98="",F98=""),"",IF(E98=F98,"Yes","No"))</f>
        <v/>
      </c>
      <c r="H98" s="15"/>
      <c r="I98" s="15"/>
      <c r="J98" s="15"/>
      <c r="K98" s="15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6" t="str">
        <f aca="false">IF(OR(E99="",F99=""),"",IF(E99=F99,"Yes","No"))</f>
        <v/>
      </c>
      <c r="H99" s="15"/>
      <c r="I99" s="15"/>
      <c r="J99" s="15"/>
      <c r="K99" s="15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6" t="str">
        <f aca="false">IF(OR(E100="",F100=""),"",IF(E100=F100,"Yes","No"))</f>
        <v/>
      </c>
      <c r="H100" s="15"/>
      <c r="I100" s="15"/>
      <c r="J100" s="15"/>
      <c r="K100" s="15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6" t="str">
        <f aca="false">IF(OR(E101="",F101=""),"",IF(E101=F101,"Yes","No"))</f>
        <v/>
      </c>
      <c r="H101" s="15"/>
      <c r="I101" s="15"/>
      <c r="J101" s="15"/>
      <c r="K101" s="15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6" t="str">
        <f aca="false">IF(OR(E102="",F102=""),"",IF(E102=F102,"Yes","No"))</f>
        <v/>
      </c>
      <c r="H102" s="15"/>
      <c r="I102" s="15"/>
      <c r="J102" s="15"/>
      <c r="K102" s="15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6" t="str">
        <f aca="false">IF(OR(E103="",F103=""),"",IF(E103=F103,"Yes","No"))</f>
        <v/>
      </c>
      <c r="H103" s="15"/>
      <c r="I103" s="15"/>
      <c r="J103" s="15"/>
      <c r="K103" s="15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6" t="str">
        <f aca="false">IF(OR(E104="",F104=""),"",IF(E104=F104,"Yes","No"))</f>
        <v/>
      </c>
      <c r="H104" s="15"/>
      <c r="I104" s="15"/>
      <c r="J104" s="15"/>
      <c r="K104" s="15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6" t="str">
        <f aca="false">IF(OR(E105="",F105=""),"",IF(E105=F105,"Yes","No"))</f>
        <v/>
      </c>
      <c r="H105" s="15"/>
      <c r="I105" s="15"/>
      <c r="J105" s="15"/>
      <c r="K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6" t="str">
        <f aca="false">IF(OR(E106="",F106=""),"",IF(E106=F106,"Yes","No"))</f>
        <v/>
      </c>
      <c r="H106" s="15"/>
      <c r="I106" s="15"/>
      <c r="J106" s="15"/>
      <c r="K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6" t="str">
        <f aca="false">IF(OR(E107="",F107=""),"",IF(E107=F107,"Yes","No"))</f>
        <v/>
      </c>
      <c r="H107" s="15"/>
      <c r="I107" s="15"/>
      <c r="J107" s="15"/>
      <c r="K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6" t="str">
        <f aca="false">IF(OR(E108="",F108=""),"",IF(E108=F108,"Yes","No"))</f>
        <v/>
      </c>
      <c r="H108" s="15"/>
      <c r="I108" s="15"/>
      <c r="J108" s="15"/>
      <c r="K108" s="15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6" t="str">
        <f aca="false">IF(OR(E109="",F109=""),"",IF(E109=F109,"Yes","No"))</f>
        <v/>
      </c>
      <c r="H109" s="15"/>
      <c r="I109" s="15"/>
      <c r="J109" s="15"/>
      <c r="K109" s="15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6" t="str">
        <f aca="false">IF(OR(E110="",F110=""),"",IF(E110=F110,"Yes","No"))</f>
        <v/>
      </c>
      <c r="H110" s="15"/>
      <c r="I110" s="15"/>
      <c r="J110" s="15"/>
      <c r="K110" s="15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6" t="str">
        <f aca="false">IF(OR(E111="",F111=""),"",IF(E111=F111,"Yes","No"))</f>
        <v/>
      </c>
      <c r="H111" s="15"/>
      <c r="I111" s="15"/>
      <c r="J111" s="15"/>
      <c r="K111" s="15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6" t="str">
        <f aca="false">IF(OR(E112="",F112=""),"",IF(E112=F112,"Yes","No"))</f>
        <v/>
      </c>
      <c r="H112" s="15"/>
      <c r="I112" s="15"/>
      <c r="J112" s="15"/>
      <c r="K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6" t="str">
        <f aca="false">IF(OR(E113="",F113=""),"",IF(E113=F113,"Yes","No"))</f>
        <v/>
      </c>
      <c r="H113" s="15"/>
      <c r="I113" s="15"/>
      <c r="J113" s="15"/>
      <c r="K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6" t="str">
        <f aca="false">IF(OR(E114="",F114=""),"",IF(E114=F114,"Yes","No"))</f>
        <v/>
      </c>
      <c r="H114" s="15"/>
      <c r="I114" s="15"/>
      <c r="J114" s="15"/>
      <c r="K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6" t="str">
        <f aca="false">IF(OR(E115="",F115=""),"",IF(E115=F115,"Yes","No"))</f>
        <v/>
      </c>
      <c r="H115" s="15"/>
      <c r="I115" s="15"/>
      <c r="J115" s="15"/>
      <c r="K115" s="15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6" t="str">
        <f aca="false">IF(OR(E116="",F116=""),"",IF(E116=F116,"Yes","No"))</f>
        <v/>
      </c>
      <c r="H116" s="15"/>
      <c r="I116" s="15"/>
      <c r="J116" s="15"/>
      <c r="K116" s="15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6" t="str">
        <f aca="false">IF(OR(E117="",F117=""),"",IF(E117=F117,"Yes","No"))</f>
        <v/>
      </c>
      <c r="H117" s="15"/>
      <c r="I117" s="15"/>
      <c r="J117" s="15"/>
      <c r="K117" s="15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6" t="str">
        <f aca="false">IF(OR(E118="",F118=""),"",IF(E118=F118,"Yes","No"))</f>
        <v/>
      </c>
      <c r="H118" s="15"/>
      <c r="I118" s="15"/>
      <c r="J118" s="15"/>
      <c r="K118" s="15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6" t="str">
        <f aca="false">IF(OR(E119="",F119=""),"",IF(E119=F119,"Yes","No"))</f>
        <v/>
      </c>
      <c r="H119" s="15"/>
      <c r="I119" s="15"/>
      <c r="J119" s="15"/>
      <c r="K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6" t="str">
        <f aca="false">IF(OR(E120="",F120=""),"",IF(E120=F120,"Yes","No"))</f>
        <v/>
      </c>
      <c r="H120" s="15"/>
      <c r="I120" s="15"/>
      <c r="J120" s="15"/>
      <c r="K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6" t="str">
        <f aca="false">IF(OR(E121="",F121=""),"",IF(E121=F121,"Yes","No"))</f>
        <v/>
      </c>
      <c r="H121" s="15"/>
      <c r="I121" s="15"/>
      <c r="J121" s="15"/>
      <c r="K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6" t="str">
        <f aca="false">IF(OR(E122="",F122=""),"",IF(E122=F122,"Yes","No"))</f>
        <v/>
      </c>
      <c r="H122" s="15"/>
      <c r="I122" s="15"/>
      <c r="J122" s="15"/>
      <c r="K122" s="15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6" t="str">
        <f aca="false">IF(OR(E123="",F123=""),"",IF(E123=F123,"Yes","No"))</f>
        <v/>
      </c>
      <c r="H123" s="15"/>
      <c r="I123" s="15"/>
      <c r="J123" s="15"/>
      <c r="K123" s="15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6" t="str">
        <f aca="false">IF(OR(E124="",F124=""),"",IF(E124=F124,"Yes","No"))</f>
        <v/>
      </c>
      <c r="H124" s="15"/>
      <c r="I124" s="15"/>
      <c r="J124" s="15"/>
      <c r="K124" s="15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6" t="str">
        <f aca="false">IF(OR(E125="",F125=""),"",IF(E125=F125,"Yes","No"))</f>
        <v/>
      </c>
      <c r="H125" s="15"/>
      <c r="I125" s="15"/>
      <c r="J125" s="15"/>
      <c r="K125" s="15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6" t="str">
        <f aca="false">IF(OR(E126="",F126=""),"",IF(E126=F126,"Yes","No"))</f>
        <v/>
      </c>
      <c r="H126" s="15"/>
      <c r="I126" s="15"/>
      <c r="J126" s="15"/>
      <c r="K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6" t="str">
        <f aca="false">IF(OR(E127="",F127=""),"",IF(E127=F127,"Yes","No"))</f>
        <v/>
      </c>
      <c r="H127" s="15"/>
      <c r="I127" s="15"/>
      <c r="J127" s="15"/>
      <c r="K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6" t="str">
        <f aca="false">IF(OR(E128="",F128=""),"",IF(E128=F128,"Yes","No"))</f>
        <v/>
      </c>
      <c r="H128" s="15"/>
      <c r="I128" s="15"/>
      <c r="J128" s="15"/>
      <c r="K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6" t="str">
        <f aca="false">IF(OR(E129="",F129=""),"",IF(E129=F129,"Yes","No"))</f>
        <v/>
      </c>
      <c r="H129" s="15"/>
      <c r="I129" s="15"/>
      <c r="J129" s="15"/>
      <c r="K129" s="15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6" t="str">
        <f aca="false">IF(OR(E130="",F130=""),"",IF(E130=F130,"Yes","No"))</f>
        <v/>
      </c>
      <c r="H130" s="15"/>
      <c r="I130" s="15"/>
      <c r="J130" s="15"/>
      <c r="K130" s="15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6" t="str">
        <f aca="false">IF(OR(E131="",F131=""),"",IF(E131=F131,"Yes","No"))</f>
        <v/>
      </c>
      <c r="H131" s="15"/>
      <c r="I131" s="15"/>
      <c r="J131" s="15"/>
      <c r="K131" s="15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6" t="str">
        <f aca="false">IF(OR(E132="",F132=""),"",IF(E132=F132,"Yes","No"))</f>
        <v/>
      </c>
      <c r="H132" s="15"/>
      <c r="I132" s="15"/>
      <c r="J132" s="15"/>
      <c r="K132" s="15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6" t="str">
        <f aca="false">IF(OR(E133="",F133=""),"",IF(E133=F133,"Yes","No"))</f>
        <v/>
      </c>
      <c r="H133" s="15"/>
      <c r="I133" s="15"/>
      <c r="J133" s="15"/>
      <c r="K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6" t="str">
        <f aca="false">IF(OR(E134="",F134=""),"",IF(E134=F134,"Yes","No"))</f>
        <v/>
      </c>
      <c r="H134" s="15"/>
      <c r="I134" s="15"/>
      <c r="J134" s="15"/>
      <c r="K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6" t="str">
        <f aca="false">IF(OR(E135="",F135=""),"",IF(E135=F135,"Yes","No"))</f>
        <v/>
      </c>
      <c r="H135" s="15"/>
      <c r="I135" s="15"/>
      <c r="J135" s="15"/>
      <c r="K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6" t="str">
        <f aca="false">IF(OR(E136="",F136=""),"",IF(E136=F136,"Yes","No"))</f>
        <v/>
      </c>
      <c r="H136" s="15"/>
      <c r="I136" s="15"/>
      <c r="J136" s="15"/>
      <c r="K136" s="15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6" t="str">
        <f aca="false">IF(OR(E137="",F137=""),"",IF(E137=F137,"Yes","No"))</f>
        <v/>
      </c>
      <c r="H137" s="15"/>
      <c r="I137" s="15"/>
      <c r="J137" s="15"/>
      <c r="K137" s="15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6" t="str">
        <f aca="false">IF(OR(E138="",F138=""),"",IF(E138=F138,"Yes","No"))</f>
        <v/>
      </c>
      <c r="H138" s="15"/>
      <c r="I138" s="15"/>
      <c r="J138" s="15"/>
      <c r="K138" s="15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6" t="str">
        <f aca="false">IF(OR(E139="",F139=""),"",IF(E139=F139,"Yes","No"))</f>
        <v/>
      </c>
      <c r="H139" s="15"/>
      <c r="I139" s="15"/>
      <c r="J139" s="15"/>
      <c r="K139" s="15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6" t="str">
        <f aca="false">IF(OR(E140="",F140=""),"",IF(E140=F140,"Yes","No"))</f>
        <v/>
      </c>
      <c r="H140" s="15"/>
      <c r="I140" s="15"/>
      <c r="J140" s="15"/>
      <c r="K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6" t="str">
        <f aca="false">IF(OR(E141="",F141=""),"",IF(E141=F141,"Yes","No"))</f>
        <v/>
      </c>
      <c r="H141" s="15"/>
      <c r="I141" s="15"/>
      <c r="J141" s="15"/>
      <c r="K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6" t="str">
        <f aca="false">IF(OR(E142="",F142=""),"",IF(E142=F142,"Yes","No"))</f>
        <v/>
      </c>
      <c r="H142" s="15"/>
      <c r="I142" s="15"/>
      <c r="J142" s="15"/>
      <c r="K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6" t="str">
        <f aca="false">IF(OR(E143="",F143=""),"",IF(E143=F143,"Yes","No"))</f>
        <v/>
      </c>
      <c r="H143" s="15"/>
      <c r="I143" s="15"/>
      <c r="J143" s="15"/>
      <c r="K143" s="15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6" t="str">
        <f aca="false">IF(OR(E144="",F144=""),"",IF(E144=F144,"Yes","No"))</f>
        <v/>
      </c>
      <c r="H144" s="15"/>
      <c r="I144" s="15"/>
      <c r="J144" s="15"/>
      <c r="K144" s="15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6" t="str">
        <f aca="false">IF(OR(E145="",F145=""),"",IF(E145=F145,"Yes","No"))</f>
        <v/>
      </c>
      <c r="H145" s="15"/>
      <c r="I145" s="15"/>
      <c r="J145" s="15"/>
      <c r="K145" s="15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6" t="str">
        <f aca="false">IF(OR(E146="",F146=""),"",IF(E146=F146,"Yes","No"))</f>
        <v/>
      </c>
      <c r="H146" s="15"/>
      <c r="I146" s="15"/>
      <c r="J146" s="15"/>
      <c r="K146" s="15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6" t="str">
        <f aca="false">IF(OR(E147="",F147=""),"",IF(E147=F147,"Yes","No"))</f>
        <v/>
      </c>
      <c r="H147" s="15"/>
      <c r="I147" s="15"/>
      <c r="J147" s="15"/>
      <c r="K147" s="15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6" t="str">
        <f aca="false">IF(OR(E148="",F148=""),"",IF(E148=F148,"Yes","No"))</f>
        <v/>
      </c>
      <c r="H148" s="15"/>
      <c r="I148" s="15"/>
      <c r="J148" s="15"/>
      <c r="K148" s="15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6" t="str">
        <f aca="false">IF(OR(E149="",F149=""),"",IF(E149=F149,"Yes","No"))</f>
        <v/>
      </c>
      <c r="H149" s="15"/>
      <c r="I149" s="15"/>
      <c r="J149" s="15"/>
      <c r="K149" s="15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6" t="str">
        <f aca="false">IF(OR(E150="",F150=""),"",IF(E150=F150,"Yes","No"))</f>
        <v/>
      </c>
      <c r="H150" s="15"/>
      <c r="I150" s="15"/>
      <c r="J150" s="15"/>
      <c r="K150" s="15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6" t="str">
        <f aca="false">IF(OR(E151="",F151=""),"",IF(E151=F151,"Yes","No"))</f>
        <v/>
      </c>
      <c r="H151" s="15"/>
      <c r="I151" s="15"/>
      <c r="J151" s="15"/>
      <c r="K151" s="15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6" t="str">
        <f aca="false">IF(OR(E152="",F152=""),"",IF(E152=F152,"Yes","No"))</f>
        <v/>
      </c>
      <c r="H152" s="15"/>
      <c r="I152" s="15"/>
      <c r="J152" s="15"/>
      <c r="K152" s="15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6" t="str">
        <f aca="false">IF(OR(E153="",F153=""),"",IF(E153=F153,"Yes","No"))</f>
        <v/>
      </c>
      <c r="H153" s="15"/>
      <c r="I153" s="15"/>
      <c r="J153" s="15"/>
      <c r="K153" s="15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6" t="str">
        <f aca="false">IF(OR(E154="",F154=""),"",IF(E154=F154,"Yes","No"))</f>
        <v/>
      </c>
      <c r="H154" s="15"/>
      <c r="I154" s="15"/>
      <c r="J154" s="15"/>
      <c r="K154" s="15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6" t="str">
        <f aca="false">IF(OR(E155="",F155=""),"",IF(E155=F155,"Yes","No"))</f>
        <v/>
      </c>
      <c r="H155" s="15"/>
      <c r="I155" s="15"/>
      <c r="J155" s="15"/>
      <c r="K155" s="15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6" t="str">
        <f aca="false">IF(OR(E156="",F156=""),"",IF(E156=F156,"Yes","No"))</f>
        <v/>
      </c>
      <c r="H156" s="15"/>
      <c r="I156" s="15"/>
      <c r="J156" s="15"/>
      <c r="K156" s="15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6" t="str">
        <f aca="false">IF(OR(E157="",F157=""),"",IF(E157=F157,"Yes","No"))</f>
        <v/>
      </c>
      <c r="H157" s="15"/>
      <c r="I157" s="15"/>
      <c r="J157" s="15"/>
      <c r="K157" s="15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6" t="str">
        <f aca="false">IF(OR(E158="",F158=""),"",IF(E158=F158,"Yes","No"))</f>
        <v/>
      </c>
      <c r="H158" s="15"/>
      <c r="I158" s="15"/>
      <c r="J158" s="15"/>
      <c r="K158" s="15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6" t="str">
        <f aca="false">IF(OR(E159="",F159=""),"",IF(E159=F159,"Yes","No"))</f>
        <v/>
      </c>
      <c r="H159" s="15"/>
      <c r="I159" s="15"/>
      <c r="J159" s="15"/>
      <c r="K159" s="15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6" t="str">
        <f aca="false">IF(OR(E160="",F160=""),"",IF(E160=F160,"Yes","No"))</f>
        <v/>
      </c>
      <c r="H160" s="15"/>
      <c r="I160" s="15"/>
      <c r="J160" s="15"/>
      <c r="K160" s="15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6" t="str">
        <f aca="false">IF(OR(E161="",F161=""),"",IF(E161=F161,"Yes","No"))</f>
        <v/>
      </c>
      <c r="H161" s="15"/>
      <c r="I161" s="15"/>
      <c r="J161" s="15"/>
      <c r="K161" s="15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6" t="str">
        <f aca="false">IF(OR(E162="",F162=""),"",IF(E162=F162,"Yes","No"))</f>
        <v/>
      </c>
      <c r="H162" s="15"/>
      <c r="I162" s="15"/>
      <c r="J162" s="15"/>
      <c r="K162" s="15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6" t="str">
        <f aca="false">IF(OR(E163="",F163=""),"",IF(E163=F163,"Yes","No"))</f>
        <v/>
      </c>
      <c r="H163" s="15"/>
      <c r="I163" s="15"/>
      <c r="J163" s="15"/>
      <c r="K163" s="15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6" t="str">
        <f aca="false">IF(OR(E164="",F164=""),"",IF(E164=F164,"Yes","No"))</f>
        <v/>
      </c>
      <c r="H164" s="15"/>
      <c r="I164" s="15"/>
      <c r="J164" s="15"/>
      <c r="K164" s="15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6" t="str">
        <f aca="false">IF(OR(E165="",F165=""),"",IF(E165=F165,"Yes","No"))</f>
        <v/>
      </c>
      <c r="H165" s="15"/>
      <c r="I165" s="15"/>
      <c r="J165" s="15"/>
      <c r="K165" s="15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6" t="str">
        <f aca="false">IF(OR(E166="",F166=""),"",IF(E166=F166,"Yes","No"))</f>
        <v/>
      </c>
      <c r="H166" s="15"/>
      <c r="I166" s="15"/>
      <c r="J166" s="15"/>
      <c r="K166" s="15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6" t="str">
        <f aca="false">IF(OR(E167="",F167=""),"",IF(E167=F167,"Yes","No"))</f>
        <v/>
      </c>
      <c r="H167" s="15"/>
      <c r="I167" s="15"/>
      <c r="J167" s="15"/>
      <c r="K167" s="15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6" t="str">
        <f aca="false">IF(OR(E168="",F168=""),"",IF(E168=F168,"Yes","No"))</f>
        <v/>
      </c>
      <c r="H168" s="15"/>
      <c r="I168" s="15"/>
      <c r="J168" s="15"/>
      <c r="K168" s="15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6" t="str">
        <f aca="false">IF(OR(E169="",F169=""),"",IF(E169=F169,"Yes","No"))</f>
        <v/>
      </c>
      <c r="H169" s="15"/>
      <c r="I169" s="15"/>
      <c r="J169" s="15"/>
      <c r="K169" s="15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6" t="str">
        <f aca="false">IF(OR(E170="",F170=""),"",IF(E170=F170,"Yes","No"))</f>
        <v/>
      </c>
      <c r="H170" s="15"/>
      <c r="I170" s="15"/>
      <c r="J170" s="15"/>
      <c r="K170" s="15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6" t="str">
        <f aca="false">IF(OR(E171="",F171=""),"",IF(E171=F171,"Yes","No"))</f>
        <v/>
      </c>
      <c r="H171" s="15"/>
      <c r="I171" s="15"/>
      <c r="J171" s="15"/>
      <c r="K171" s="15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6" t="str">
        <f aca="false">IF(OR(E172="",F172=""),"",IF(E172=F172,"Yes","No"))</f>
        <v/>
      </c>
      <c r="H172" s="15"/>
      <c r="I172" s="15"/>
      <c r="J172" s="15"/>
      <c r="K172" s="15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6" t="str">
        <f aca="false">IF(OR(E173="",F173=""),"",IF(E173=F173,"Yes","No"))</f>
        <v/>
      </c>
      <c r="H173" s="15"/>
      <c r="I173" s="15"/>
      <c r="J173" s="15"/>
      <c r="K173" s="15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6" t="str">
        <f aca="false">IF(OR(E174="",F174=""),"",IF(E174=F174,"Yes","No"))</f>
        <v/>
      </c>
      <c r="H174" s="15"/>
      <c r="I174" s="15"/>
      <c r="J174" s="15"/>
      <c r="K174" s="15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6" t="str">
        <f aca="false">IF(OR(E175="",F175=""),"",IF(E175=F175,"Yes","No"))</f>
        <v/>
      </c>
      <c r="H175" s="15"/>
      <c r="I175" s="15"/>
      <c r="J175" s="15"/>
      <c r="K175" s="15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6" t="str">
        <f aca="false">IF(OR(E176="",F176=""),"",IF(E176=F176,"Yes","No"))</f>
        <v/>
      </c>
      <c r="H176" s="15"/>
      <c r="I176" s="15"/>
      <c r="J176" s="15"/>
      <c r="K176" s="15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6" t="str">
        <f aca="false">IF(OR(E177="",F177=""),"",IF(E177=F177,"Yes","No"))</f>
        <v/>
      </c>
      <c r="H177" s="15"/>
      <c r="I177" s="15"/>
      <c r="J177" s="15"/>
      <c r="K177" s="15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6" t="str">
        <f aca="false">IF(OR(E178="",F178=""),"",IF(E178=F178,"Yes","No"))</f>
        <v/>
      </c>
      <c r="H178" s="15"/>
      <c r="I178" s="15"/>
      <c r="J178" s="15"/>
      <c r="K178" s="15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6" t="str">
        <f aca="false">IF(OR(E179="",F179=""),"",IF(E179=F179,"Yes","No"))</f>
        <v/>
      </c>
      <c r="H179" s="15"/>
      <c r="I179" s="15"/>
      <c r="J179" s="15"/>
      <c r="K179" s="15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6" t="str">
        <f aca="false">IF(OR(E180="",F180=""),"",IF(E180=F180,"Yes","No"))</f>
        <v/>
      </c>
      <c r="H180" s="15"/>
      <c r="I180" s="15"/>
      <c r="J180" s="15"/>
      <c r="K180" s="15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6" t="str">
        <f aca="false">IF(OR(E181="",F181=""),"",IF(E181=F181,"Yes","No"))</f>
        <v/>
      </c>
      <c r="H181" s="15"/>
      <c r="I181" s="15"/>
      <c r="J181" s="15"/>
      <c r="K181" s="15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6" t="str">
        <f aca="false">IF(OR(E182="",F182=""),"",IF(E182=F182,"Yes","No"))</f>
        <v/>
      </c>
      <c r="H182" s="15"/>
      <c r="I182" s="15"/>
      <c r="J182" s="15"/>
      <c r="K182" s="15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6" t="str">
        <f aca="false">IF(OR(E183="",F183=""),"",IF(E183=F183,"Yes","No"))</f>
        <v/>
      </c>
      <c r="H183" s="15"/>
      <c r="I183" s="15"/>
      <c r="J183" s="15"/>
      <c r="K183" s="15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6" t="str">
        <f aca="false">IF(OR(E184="",F184=""),"",IF(E184=F184,"Yes","No"))</f>
        <v/>
      </c>
      <c r="H184" s="15"/>
      <c r="I184" s="15"/>
      <c r="J184" s="15"/>
      <c r="K184" s="15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6" t="str">
        <f aca="false">IF(OR(E185="",F185=""),"",IF(E185=F185,"Yes","No"))</f>
        <v/>
      </c>
      <c r="H185" s="15"/>
      <c r="I185" s="15"/>
      <c r="J185" s="15"/>
      <c r="K185" s="15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6" t="str">
        <f aca="false">IF(OR(E186="",F186=""),"",IF(E186=F186,"Yes","No"))</f>
        <v/>
      </c>
      <c r="H186" s="15"/>
      <c r="I186" s="15"/>
      <c r="J186" s="15"/>
      <c r="K186" s="15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6" t="str">
        <f aca="false">IF(OR(E187="",F187=""),"",IF(E187=F187,"Yes","No"))</f>
        <v/>
      </c>
      <c r="H187" s="15"/>
      <c r="I187" s="15"/>
      <c r="J187" s="15"/>
      <c r="K187" s="15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6" t="str">
        <f aca="false">IF(OR(E188="",F188=""),"",IF(E188=F188,"Yes","No"))</f>
        <v/>
      </c>
      <c r="H188" s="15"/>
      <c r="I188" s="15"/>
      <c r="J188" s="15"/>
      <c r="K188" s="15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6" t="str">
        <f aca="false">IF(OR(E189="",F189=""),"",IF(E189=F189,"Yes","No"))</f>
        <v/>
      </c>
      <c r="H189" s="15"/>
      <c r="I189" s="15"/>
      <c r="J189" s="15"/>
      <c r="K189" s="15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6" t="str">
        <f aca="false">IF(OR(E190="",F190=""),"",IF(E190=F190,"Yes","No"))</f>
        <v/>
      </c>
      <c r="H190" s="15"/>
      <c r="I190" s="15"/>
      <c r="J190" s="15"/>
      <c r="K190" s="15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6" t="str">
        <f aca="false">IF(OR(E191="",F191=""),"",IF(E191=F191,"Yes","No"))</f>
        <v/>
      </c>
      <c r="H191" s="15"/>
      <c r="I191" s="15"/>
      <c r="J191" s="15"/>
      <c r="K191" s="15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6" t="str">
        <f aca="false">IF(OR(E192="",F192=""),"",IF(E192=F192,"Yes","No"))</f>
        <v/>
      </c>
      <c r="H192" s="15"/>
      <c r="I192" s="15"/>
      <c r="J192" s="15"/>
      <c r="K192" s="15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6" t="str">
        <f aca="false">IF(OR(E193="",F193=""),"",IF(E193=F193,"Yes","No"))</f>
        <v/>
      </c>
      <c r="H193" s="15"/>
      <c r="I193" s="15"/>
      <c r="J193" s="15"/>
      <c r="K193" s="15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6" t="str">
        <f aca="false">IF(OR(E194="",F194=""),"",IF(E194=F194,"Yes","No"))</f>
        <v/>
      </c>
      <c r="H194" s="15"/>
      <c r="I194" s="15"/>
      <c r="J194" s="15"/>
      <c r="K194" s="15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6" t="str">
        <f aca="false">IF(OR(E195="",F195=""),"",IF(E195=F195,"Yes","No"))</f>
        <v/>
      </c>
      <c r="H195" s="15"/>
      <c r="I195" s="15"/>
      <c r="J195" s="15"/>
      <c r="K195" s="15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6" t="str">
        <f aca="false">IF(OR(E196="",F196=""),"",IF(E196=F196,"Yes","No"))</f>
        <v/>
      </c>
      <c r="H196" s="15"/>
      <c r="I196" s="15"/>
      <c r="J196" s="15"/>
      <c r="K196" s="15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6" t="str">
        <f aca="false">IF(OR(E197="",F197=""),"",IF(E197=F197,"Yes","No"))</f>
        <v/>
      </c>
      <c r="H197" s="15"/>
      <c r="I197" s="15"/>
      <c r="J197" s="15"/>
      <c r="K197" s="15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6" t="str">
        <f aca="false">IF(OR(E198="",F198=""),"",IF(E198=F198,"Yes","No"))</f>
        <v/>
      </c>
      <c r="H198" s="15"/>
      <c r="I198" s="15"/>
      <c r="J198" s="15"/>
      <c r="K198" s="15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6" t="str">
        <f aca="false">IF(OR(E199="",F199=""),"",IF(E199=F199,"Yes","No"))</f>
        <v/>
      </c>
      <c r="H199" s="15"/>
      <c r="I199" s="15"/>
      <c r="J199" s="15"/>
      <c r="K199" s="15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6" t="str">
        <f aca="false">IF(OR(E200="",F200=""),"",IF(E200=F200,"Yes","No"))</f>
        <v/>
      </c>
      <c r="H200" s="15"/>
      <c r="I200" s="15"/>
      <c r="J200" s="15"/>
      <c r="K200" s="15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6" t="str">
        <f aca="false">IF(OR(E201="",F201=""),"",IF(E201=F201,"Yes","No"))</f>
        <v/>
      </c>
      <c r="H201" s="15"/>
      <c r="I201" s="15"/>
      <c r="J201" s="15"/>
      <c r="K201" s="15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6" t="str">
        <f aca="false">IF(OR(E202="",F202=""),"",IF(E202=F202,"Yes","No"))</f>
        <v/>
      </c>
      <c r="H202" s="15"/>
      <c r="I202" s="15"/>
      <c r="J202" s="15"/>
      <c r="K202" s="15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6" t="str">
        <f aca="false">IF(OR(E203="",F203=""),"",IF(E203=F203,"Yes","No"))</f>
        <v/>
      </c>
      <c r="H203" s="15"/>
      <c r="I203" s="15"/>
      <c r="J203" s="15"/>
      <c r="K203" s="15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6" t="str">
        <f aca="false">IF(OR(E204="",F204=""),"",IF(E204=F204,"Yes","No"))</f>
        <v/>
      </c>
      <c r="H204" s="15"/>
      <c r="I204" s="15"/>
      <c r="J204" s="15"/>
      <c r="K204" s="15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5"/>
      <c r="G205" s="16" t="str">
        <f aca="false">IF(OR(E205="",F205=""),"",IF(E205=F205,"Yes","No"))</f>
        <v/>
      </c>
      <c r="H205" s="15"/>
      <c r="I205" s="15"/>
      <c r="J205" s="15"/>
      <c r="K205" s="15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5"/>
      <c r="G206" s="16" t="str">
        <f aca="false">IF(OR(E206="",F206=""),"",IF(E206=F206,"Yes","No"))</f>
        <v/>
      </c>
      <c r="H206" s="15"/>
      <c r="I206" s="15"/>
      <c r="J206" s="15"/>
      <c r="K206" s="15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5"/>
      <c r="G207" s="16" t="str">
        <f aca="false">IF(OR(E207="",F207=""),"",IF(E207=F207,"Yes","No"))</f>
        <v/>
      </c>
      <c r="H207" s="15"/>
      <c r="I207" s="15"/>
      <c r="J207" s="15"/>
      <c r="K207" s="15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5"/>
      <c r="G208" s="16" t="str">
        <f aca="false">IF(OR(E208="",F208=""),"",IF(E208=F208,"Yes","No"))</f>
        <v/>
      </c>
      <c r="H208" s="15"/>
      <c r="I208" s="15"/>
      <c r="J208" s="15"/>
      <c r="K208" s="15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5"/>
      <c r="G209" s="16" t="str">
        <f aca="false">IF(OR(E209="",F209=""),"",IF(E209=F209,"Yes","No"))</f>
        <v/>
      </c>
      <c r="H209" s="15"/>
      <c r="I209" s="15"/>
      <c r="J209" s="15"/>
      <c r="K209" s="15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5"/>
      <c r="G210" s="16" t="str">
        <f aca="false">IF(OR(E210="",F210=""),"",IF(E210=F210,"Yes","No"))</f>
        <v/>
      </c>
      <c r="H210" s="15"/>
      <c r="I210" s="15"/>
      <c r="J210" s="15"/>
      <c r="K210" s="15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5"/>
      <c r="G211" s="16" t="str">
        <f aca="false">IF(OR(E211="",F211=""),"",IF(E211=F211,"Yes","No"))</f>
        <v/>
      </c>
      <c r="H211" s="15"/>
      <c r="I211" s="15"/>
      <c r="J211" s="15"/>
      <c r="K211" s="15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5"/>
      <c r="G212" s="16" t="str">
        <f aca="false">IF(OR(E212="",F212=""),"",IF(E212=F212,"Yes","No"))</f>
        <v/>
      </c>
      <c r="H212" s="15"/>
      <c r="I212" s="15"/>
      <c r="J212" s="15"/>
      <c r="K212" s="15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5"/>
      <c r="G213" s="16" t="str">
        <f aca="false">IF(OR(E213="",F213=""),"",IF(E213=F213,"Yes","No"))</f>
        <v/>
      </c>
      <c r="H213" s="15"/>
      <c r="I213" s="15"/>
      <c r="J213" s="15"/>
      <c r="K213" s="15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5"/>
      <c r="G214" s="16" t="str">
        <f aca="false">IF(OR(E214="",F214=""),"",IF(E214=F214,"Yes","No"))</f>
        <v/>
      </c>
      <c r="H214" s="15"/>
      <c r="I214" s="15"/>
      <c r="J214" s="15"/>
      <c r="K214" s="15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5"/>
      <c r="G215" s="16" t="str">
        <f aca="false">IF(OR(E215="",F215=""),"",IF(E215=F215,"Yes","No"))</f>
        <v/>
      </c>
      <c r="H215" s="15"/>
      <c r="I215" s="15"/>
      <c r="J215" s="15"/>
      <c r="K215" s="15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5"/>
      <c r="G216" s="16" t="str">
        <f aca="false">IF(OR(E216="",F216=""),"",IF(E216=F216,"Yes","No"))</f>
        <v/>
      </c>
      <c r="H216" s="15"/>
      <c r="I216" s="15"/>
      <c r="J216" s="15"/>
      <c r="K216" s="15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5"/>
      <c r="G217" s="16" t="str">
        <f aca="false">IF(OR(E217="",F217=""),"",IF(E217=F217,"Yes","No"))</f>
        <v/>
      </c>
      <c r="H217" s="15"/>
      <c r="I217" s="15"/>
      <c r="J217" s="15"/>
      <c r="K217" s="15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5"/>
      <c r="G218" s="16" t="str">
        <f aca="false">IF(OR(E218="",F218=""),"",IF(E218=F218,"Yes","No"))</f>
        <v/>
      </c>
      <c r="H218" s="15"/>
      <c r="I218" s="15"/>
      <c r="J218" s="15"/>
      <c r="K218" s="15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5"/>
      <c r="G219" s="16" t="str">
        <f aca="false">IF(OR(E219="",F219=""),"",IF(E219=F219,"Yes","No"))</f>
        <v/>
      </c>
      <c r="H219" s="15"/>
      <c r="I219" s="15"/>
      <c r="J219" s="15"/>
      <c r="K219" s="15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5"/>
      <c r="G220" s="16" t="str">
        <f aca="false">IF(OR(E220="",F220=""),"",IF(E220=F220,"Yes","No"))</f>
        <v/>
      </c>
      <c r="H220" s="15"/>
      <c r="I220" s="15"/>
      <c r="J220" s="15"/>
      <c r="K220" s="15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5"/>
      <c r="G221" s="16" t="str">
        <f aca="false">IF(OR(E221="",F221=""),"",IF(E221=F221,"Yes","No"))</f>
        <v/>
      </c>
      <c r="H221" s="15"/>
      <c r="I221" s="15"/>
      <c r="J221" s="15"/>
      <c r="K221" s="15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5"/>
      <c r="G222" s="16" t="str">
        <f aca="false">IF(OR(E222="",F222=""),"",IF(E222=F222,"Yes","No"))</f>
        <v/>
      </c>
      <c r="H222" s="15"/>
      <c r="I222" s="15"/>
      <c r="J222" s="15"/>
      <c r="K222" s="15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5"/>
      <c r="G223" s="16" t="str">
        <f aca="false">IF(OR(E223="",F223=""),"",IF(E223=F223,"Yes","No"))</f>
        <v/>
      </c>
      <c r="H223" s="15"/>
      <c r="I223" s="15"/>
      <c r="J223" s="15"/>
      <c r="K223" s="15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5"/>
      <c r="G224" s="16" t="str">
        <f aca="false">IF(OR(E224="",F224=""),"",IF(E224=F224,"Yes","No"))</f>
        <v/>
      </c>
      <c r="H224" s="15"/>
      <c r="I224" s="15"/>
      <c r="J224" s="15"/>
      <c r="K224" s="15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5"/>
      <c r="G225" s="16" t="str">
        <f aca="false">IF(OR(E225="",F225=""),"",IF(E225=F225,"Yes","No"))</f>
        <v/>
      </c>
      <c r="H225" s="15"/>
      <c r="I225" s="15"/>
      <c r="J225" s="15"/>
      <c r="K225" s="15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5"/>
      <c r="G226" s="16" t="str">
        <f aca="false">IF(OR(E226="",F226=""),"",IF(E226=F226,"Yes","No"))</f>
        <v/>
      </c>
      <c r="H226" s="15"/>
      <c r="I226" s="15"/>
      <c r="J226" s="15"/>
      <c r="K226" s="15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5"/>
      <c r="G227" s="16" t="str">
        <f aca="false">IF(OR(E227="",F227=""),"",IF(E227=F227,"Yes","No"))</f>
        <v/>
      </c>
      <c r="H227" s="15"/>
      <c r="I227" s="15"/>
      <c r="J227" s="15"/>
      <c r="K227" s="15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5"/>
      <c r="G228" s="16" t="str">
        <f aca="false">IF(OR(E228="",F228=""),"",IF(E228=F228,"Yes","No"))</f>
        <v/>
      </c>
      <c r="H228" s="15"/>
      <c r="I228" s="15"/>
      <c r="J228" s="15"/>
      <c r="K228" s="15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5"/>
      <c r="G229" s="16" t="str">
        <f aca="false">IF(OR(E229="",F229=""),"",IF(E229=F229,"Yes","No"))</f>
        <v/>
      </c>
      <c r="H229" s="15"/>
      <c r="I229" s="15"/>
      <c r="J229" s="15"/>
      <c r="K229" s="15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5"/>
      <c r="G230" s="16" t="str">
        <f aca="false">IF(OR(E230="",F230=""),"",IF(E230=F230,"Yes","No"))</f>
        <v/>
      </c>
      <c r="H230" s="15"/>
      <c r="I230" s="15"/>
      <c r="J230" s="15"/>
      <c r="K230" s="15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5"/>
      <c r="G231" s="16" t="str">
        <f aca="false">IF(OR(E231="",F231=""),"",IF(E231=F231,"Yes","No"))</f>
        <v/>
      </c>
      <c r="H231" s="15"/>
      <c r="I231" s="15"/>
      <c r="J231" s="15"/>
      <c r="K231" s="15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5"/>
      <c r="G232" s="16" t="str">
        <f aca="false">IF(OR(E232="",F232=""),"",IF(E232=F232,"Yes","No"))</f>
        <v/>
      </c>
      <c r="H232" s="15"/>
      <c r="I232" s="15"/>
      <c r="J232" s="15"/>
      <c r="K232" s="15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5"/>
      <c r="G233" s="16" t="str">
        <f aca="false">IF(OR(E233="",F233=""),"",IF(E233=F233,"Yes","No"))</f>
        <v/>
      </c>
      <c r="H233" s="15"/>
      <c r="I233" s="15"/>
      <c r="J233" s="15"/>
      <c r="K233" s="15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5"/>
      <c r="G234" s="16" t="str">
        <f aca="false">IF(OR(E234="",F234=""),"",IF(E234=F234,"Yes","No"))</f>
        <v/>
      </c>
      <c r="H234" s="15"/>
      <c r="I234" s="15"/>
      <c r="J234" s="15"/>
      <c r="K234" s="15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5"/>
      <c r="G235" s="16" t="str">
        <f aca="false">IF(OR(E235="",F235=""),"",IF(E235=F235,"Yes","No"))</f>
        <v/>
      </c>
      <c r="H235" s="15"/>
      <c r="I235" s="15"/>
      <c r="J235" s="15"/>
      <c r="K235" s="15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5"/>
      <c r="G236" s="16" t="str">
        <f aca="false">IF(OR(E236="",F236=""),"",IF(E236=F236,"Yes","No"))</f>
        <v/>
      </c>
      <c r="H236" s="15"/>
      <c r="I236" s="15"/>
      <c r="J236" s="15"/>
      <c r="K236" s="15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5"/>
      <c r="G237" s="16" t="str">
        <f aca="false">IF(OR(E237="",F237=""),"",IF(E237=F237,"Yes","No"))</f>
        <v/>
      </c>
      <c r="H237" s="15"/>
      <c r="I237" s="15"/>
      <c r="J237" s="15"/>
      <c r="K237" s="15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5"/>
      <c r="G238" s="16" t="str">
        <f aca="false">IF(OR(E238="",F238=""),"",IF(E238=F238,"Yes","No"))</f>
        <v/>
      </c>
      <c r="H238" s="15"/>
      <c r="I238" s="15"/>
      <c r="J238" s="15"/>
      <c r="K238" s="15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5"/>
      <c r="G239" s="16" t="str">
        <f aca="false">IF(OR(E239="",F239=""),"",IF(E239=F239,"Yes","No"))</f>
        <v/>
      </c>
      <c r="H239" s="15"/>
      <c r="I239" s="15"/>
      <c r="J239" s="15"/>
      <c r="K239" s="15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5"/>
      <c r="G240" s="16" t="str">
        <f aca="false">IF(OR(E240="",F240=""),"",IF(E240=F240,"Yes","No"))</f>
        <v/>
      </c>
      <c r="H240" s="15"/>
      <c r="I240" s="15"/>
      <c r="J240" s="15"/>
      <c r="K240" s="15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5"/>
      <c r="G241" s="16" t="str">
        <f aca="false">IF(OR(E241="",F241=""),"",IF(E241=F241,"Yes","No"))</f>
        <v/>
      </c>
      <c r="H241" s="15"/>
      <c r="I241" s="15"/>
      <c r="J241" s="15"/>
      <c r="K241" s="15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5"/>
      <c r="G242" s="16" t="str">
        <f aca="false">IF(OR(E242="",F242=""),"",IF(E242=F242,"Yes","No"))</f>
        <v/>
      </c>
      <c r="H242" s="15"/>
      <c r="I242" s="15"/>
      <c r="J242" s="15"/>
      <c r="K242" s="15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5"/>
      <c r="G243" s="16" t="str">
        <f aca="false">IF(OR(E243="",F243=""),"",IF(E243=F243,"Yes","No"))</f>
        <v/>
      </c>
      <c r="H243" s="15"/>
      <c r="I243" s="15"/>
      <c r="J243" s="15"/>
      <c r="K243" s="15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5"/>
      <c r="G244" s="16" t="str">
        <f aca="false">IF(OR(E244="",F244=""),"",IF(E244=F244,"Yes","No"))</f>
        <v/>
      </c>
      <c r="H244" s="15"/>
      <c r="I244" s="15"/>
      <c r="J244" s="15"/>
      <c r="K244" s="15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5"/>
      <c r="G245" s="16" t="str">
        <f aca="false">IF(OR(E245="",F245=""),"",IF(E245=F245,"Yes","No"))</f>
        <v/>
      </c>
      <c r="H245" s="15"/>
      <c r="I245" s="15"/>
      <c r="J245" s="15"/>
      <c r="K245" s="15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5"/>
      <c r="G246" s="16" t="str">
        <f aca="false">IF(OR(E246="",F246=""),"",IF(E246=F246,"Yes","No"))</f>
        <v/>
      </c>
      <c r="H246" s="15"/>
      <c r="I246" s="15"/>
      <c r="J246" s="15"/>
      <c r="K246" s="15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5"/>
      <c r="G247" s="16" t="str">
        <f aca="false">IF(OR(E247="",F247=""),"",IF(E247=F247,"Yes","No"))</f>
        <v/>
      </c>
      <c r="H247" s="15"/>
      <c r="I247" s="15"/>
      <c r="J247" s="15"/>
      <c r="K247" s="15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5"/>
      <c r="G248" s="16" t="str">
        <f aca="false">IF(OR(E248="",F248=""),"",IF(E248=F248,"Yes","No"))</f>
        <v/>
      </c>
      <c r="H248" s="15"/>
      <c r="I248" s="15"/>
      <c r="J248" s="15"/>
      <c r="K248" s="15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5"/>
      <c r="G249" s="16" t="str">
        <f aca="false">IF(OR(E249="",F249=""),"",IF(E249=F249,"Yes","No"))</f>
        <v/>
      </c>
      <c r="H249" s="15"/>
      <c r="I249" s="15"/>
      <c r="J249" s="15"/>
      <c r="K249" s="15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5"/>
      <c r="G250" s="16" t="str">
        <f aca="false">IF(OR(E250="",F250=""),"",IF(E250=F250,"Yes","No"))</f>
        <v/>
      </c>
      <c r="H250" s="15"/>
      <c r="I250" s="15"/>
      <c r="J250" s="15"/>
      <c r="K250" s="15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5"/>
      <c r="G251" s="16" t="str">
        <f aca="false">IF(OR(E251="",F251=""),"",IF(E251=F251,"Yes","No"))</f>
        <v/>
      </c>
      <c r="H251" s="15"/>
      <c r="I251" s="15"/>
      <c r="J251" s="15"/>
      <c r="K251" s="15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5"/>
      <c r="G252" s="16" t="str">
        <f aca="false">IF(OR(E252="",F252=""),"",IF(E252=F252,"Yes","No"))</f>
        <v/>
      </c>
      <c r="H252" s="15"/>
      <c r="I252" s="15"/>
      <c r="J252" s="15"/>
      <c r="K252" s="15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5"/>
      <c r="G253" s="16" t="str">
        <f aca="false">IF(OR(E253="",F253=""),"",IF(E253=F253,"Yes","No"))</f>
        <v/>
      </c>
      <c r="H253" s="15"/>
      <c r="I253" s="15"/>
      <c r="J253" s="15"/>
      <c r="K253" s="15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5"/>
      <c r="G254" s="16" t="str">
        <f aca="false">IF(OR(E254="",F254=""),"",IF(E254=F254,"Yes","No"))</f>
        <v/>
      </c>
      <c r="H254" s="15"/>
      <c r="I254" s="15"/>
      <c r="J254" s="15"/>
      <c r="K254" s="15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5"/>
      <c r="G255" s="16" t="str">
        <f aca="false">IF(OR(E255="",F255=""),"",IF(E255=F255,"Yes","No"))</f>
        <v/>
      </c>
      <c r="H255" s="15"/>
      <c r="I255" s="15"/>
      <c r="J255" s="15"/>
      <c r="K255" s="15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5"/>
      <c r="G256" s="16" t="str">
        <f aca="false">IF(OR(E256="",F256=""),"",IF(E256=F256,"Yes","No"))</f>
        <v/>
      </c>
      <c r="H256" s="15"/>
      <c r="I256" s="15"/>
      <c r="J256" s="15"/>
      <c r="K256" s="15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5"/>
      <c r="G257" s="16" t="str">
        <f aca="false">IF(OR(E257="",F257=""),"",IF(E257=F257,"Yes","No"))</f>
        <v/>
      </c>
      <c r="H257" s="15"/>
      <c r="I257" s="15"/>
      <c r="J257" s="15"/>
      <c r="K257" s="15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5"/>
      <c r="G258" s="16" t="str">
        <f aca="false">IF(OR(E258="",F258=""),"",IF(E258=F258,"Yes","No"))</f>
        <v/>
      </c>
      <c r="H258" s="15"/>
      <c r="I258" s="15"/>
      <c r="J258" s="15"/>
      <c r="K258" s="15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5"/>
      <c r="G259" s="16" t="str">
        <f aca="false">IF(OR(E259="",F259=""),"",IF(E259=F259,"Yes","No"))</f>
        <v/>
      </c>
      <c r="H259" s="15"/>
      <c r="I259" s="15"/>
      <c r="J259" s="15"/>
      <c r="K259" s="15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5"/>
      <c r="G260" s="16" t="str">
        <f aca="false">IF(OR(E260="",F260=""),"",IF(E260=F260,"Yes","No"))</f>
        <v/>
      </c>
      <c r="H260" s="15"/>
      <c r="I260" s="15"/>
      <c r="J260" s="15"/>
      <c r="K260" s="15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5"/>
      <c r="G261" s="16" t="str">
        <f aca="false">IF(OR(E261="",F261=""),"",IF(E261=F261,"Yes","No"))</f>
        <v/>
      </c>
      <c r="H261" s="15"/>
      <c r="I261" s="15"/>
      <c r="J261" s="15"/>
      <c r="K261" s="15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5"/>
      <c r="G262" s="16" t="str">
        <f aca="false">IF(OR(E262="",F262=""),"",IF(E262=F262,"Yes","No"))</f>
        <v/>
      </c>
      <c r="H262" s="15"/>
      <c r="I262" s="15"/>
      <c r="J262" s="15"/>
      <c r="K262" s="15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5"/>
      <c r="G263" s="16" t="str">
        <f aca="false">IF(OR(E263="",F263=""),"",IF(E263=F263,"Yes","No"))</f>
        <v/>
      </c>
      <c r="H263" s="15"/>
      <c r="I263" s="15"/>
      <c r="J263" s="15"/>
      <c r="K263" s="15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5"/>
      <c r="G264" s="16" t="str">
        <f aca="false">IF(OR(E264="",F264=""),"",IF(E264=F264,"Yes","No"))</f>
        <v/>
      </c>
      <c r="H264" s="15"/>
      <c r="I264" s="15"/>
      <c r="J264" s="15"/>
      <c r="K264" s="15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5"/>
      <c r="G265" s="16" t="str">
        <f aca="false">IF(OR(E265="",F265=""),"",IF(E265=F265,"Yes","No"))</f>
        <v/>
      </c>
      <c r="H265" s="15"/>
      <c r="I265" s="15"/>
      <c r="J265" s="15"/>
      <c r="K265" s="15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5"/>
      <c r="G266" s="16" t="str">
        <f aca="false">IF(OR(E266="",F266=""),"",IF(E266=F266,"Yes","No"))</f>
        <v/>
      </c>
      <c r="H266" s="15"/>
      <c r="I266" s="15"/>
      <c r="J266" s="15"/>
      <c r="K266" s="15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5"/>
      <c r="G267" s="16" t="str">
        <f aca="false">IF(OR(E267="",F267=""),"",IF(E267=F267,"Yes","No"))</f>
        <v/>
      </c>
      <c r="H267" s="15"/>
      <c r="I267" s="15"/>
      <c r="J267" s="15"/>
      <c r="K267" s="15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5"/>
      <c r="G268" s="16" t="str">
        <f aca="false">IF(OR(E268="",F268=""),"",IF(E268=F268,"Yes","No"))</f>
        <v/>
      </c>
      <c r="H268" s="15"/>
      <c r="I268" s="15"/>
      <c r="J268" s="15"/>
      <c r="K268" s="15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5"/>
      <c r="G269" s="16" t="str">
        <f aca="false">IF(OR(E269="",F269=""),"",IF(E269=F269,"Yes","No"))</f>
        <v/>
      </c>
      <c r="H269" s="15"/>
      <c r="I269" s="15"/>
      <c r="J269" s="15"/>
      <c r="K269" s="15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5"/>
      <c r="G270" s="16" t="str">
        <f aca="false">IF(OR(E270="",F270=""),"",IF(E270=F270,"Yes","No"))</f>
        <v/>
      </c>
      <c r="H270" s="15"/>
      <c r="I270" s="15"/>
      <c r="J270" s="15"/>
      <c r="K270" s="15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5"/>
      <c r="G271" s="16" t="str">
        <f aca="false">IF(OR(E271="",F271=""),"",IF(E271=F271,"Yes","No"))</f>
        <v/>
      </c>
      <c r="H271" s="15"/>
      <c r="I271" s="15"/>
      <c r="J271" s="15"/>
      <c r="K271" s="15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5"/>
      <c r="G272" s="16" t="str">
        <f aca="false">IF(OR(E272="",F272=""),"",IF(E272=F272,"Yes","No"))</f>
        <v/>
      </c>
      <c r="H272" s="15"/>
      <c r="I272" s="15"/>
      <c r="J272" s="15"/>
      <c r="K272" s="15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5"/>
      <c r="G273" s="16" t="str">
        <f aca="false">IF(OR(E273="",F273=""),"",IF(E273=F273,"Yes","No"))</f>
        <v/>
      </c>
      <c r="H273" s="15"/>
      <c r="I273" s="15"/>
      <c r="J273" s="15"/>
      <c r="K273" s="15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5"/>
      <c r="G274" s="16" t="str">
        <f aca="false">IF(OR(E274="",F274=""),"",IF(E274=F274,"Yes","No"))</f>
        <v/>
      </c>
      <c r="H274" s="15"/>
      <c r="I274" s="15"/>
      <c r="J274" s="15"/>
      <c r="K274" s="15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5"/>
      <c r="G275" s="16" t="str">
        <f aca="false">IF(OR(E275="",F275=""),"",IF(E275=F275,"Yes","No"))</f>
        <v/>
      </c>
      <c r="H275" s="15"/>
      <c r="I275" s="15"/>
      <c r="J275" s="15"/>
      <c r="K275" s="15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5"/>
      <c r="G276" s="16" t="str">
        <f aca="false">IF(OR(E276="",F276=""),"",IF(E276=F276,"Yes","No"))</f>
        <v/>
      </c>
      <c r="H276" s="15"/>
      <c r="I276" s="15"/>
      <c r="J276" s="15"/>
      <c r="K276" s="15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5"/>
      <c r="G277" s="16" t="str">
        <f aca="false">IF(OR(E277="",F277=""),"",IF(E277=F277,"Yes","No"))</f>
        <v/>
      </c>
      <c r="H277" s="15"/>
      <c r="I277" s="15"/>
      <c r="J277" s="15"/>
      <c r="K277" s="15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5"/>
      <c r="G278" s="16" t="str">
        <f aca="false">IF(OR(E278="",F278=""),"",IF(E278=F278,"Yes","No"))</f>
        <v/>
      </c>
      <c r="H278" s="15"/>
      <c r="I278" s="15"/>
      <c r="J278" s="15"/>
      <c r="K278" s="15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5"/>
      <c r="G279" s="16" t="str">
        <f aca="false">IF(OR(E279="",F279=""),"",IF(E279=F279,"Yes","No"))</f>
        <v/>
      </c>
      <c r="H279" s="15"/>
      <c r="I279" s="15"/>
      <c r="J279" s="15"/>
      <c r="K279" s="15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5"/>
      <c r="G280" s="16" t="str">
        <f aca="false">IF(OR(E280="",F280=""),"",IF(E280=F280,"Yes","No"))</f>
        <v/>
      </c>
      <c r="H280" s="15"/>
      <c r="I280" s="15"/>
      <c r="J280" s="15"/>
      <c r="K280" s="15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5"/>
      <c r="G281" s="16" t="str">
        <f aca="false">IF(OR(E281="",F281=""),"",IF(E281=F281,"Yes","No"))</f>
        <v/>
      </c>
      <c r="H281" s="15"/>
      <c r="I281" s="15"/>
      <c r="J281" s="15"/>
      <c r="K281" s="15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5"/>
      <c r="G282" s="16" t="str">
        <f aca="false">IF(OR(E282="",F282=""),"",IF(E282=F282,"Yes","No"))</f>
        <v/>
      </c>
      <c r="H282" s="15"/>
      <c r="I282" s="15"/>
      <c r="J282" s="15"/>
      <c r="K282" s="15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5"/>
      <c r="G283" s="16" t="str">
        <f aca="false">IF(OR(E283="",F283=""),"",IF(E283=F283,"Yes","No"))</f>
        <v/>
      </c>
      <c r="H283" s="15"/>
      <c r="I283" s="15"/>
      <c r="J283" s="15"/>
      <c r="K283" s="15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5"/>
      <c r="G284" s="16" t="str">
        <f aca="false">IF(OR(E284="",F284=""),"",IF(E284=F284,"Yes","No"))</f>
        <v/>
      </c>
      <c r="H284" s="15"/>
      <c r="I284" s="15"/>
      <c r="J284" s="15"/>
      <c r="K284" s="15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5"/>
      <c r="G285" s="16" t="str">
        <f aca="false">IF(OR(E285="",F285=""),"",IF(E285=F285,"Yes","No"))</f>
        <v/>
      </c>
      <c r="H285" s="15"/>
      <c r="I285" s="15"/>
      <c r="J285" s="15"/>
      <c r="K285" s="15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5"/>
      <c r="G286" s="16" t="str">
        <f aca="false">IF(OR(E286="",F286=""),"",IF(E286=F286,"Yes","No"))</f>
        <v/>
      </c>
      <c r="H286" s="15"/>
      <c r="I286" s="15"/>
      <c r="J286" s="15"/>
      <c r="K286" s="15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5"/>
      <c r="G287" s="16" t="str">
        <f aca="false">IF(OR(E287="",F287=""),"",IF(E287=F287,"Yes","No"))</f>
        <v/>
      </c>
      <c r="H287" s="15"/>
      <c r="I287" s="15"/>
      <c r="J287" s="15"/>
      <c r="K287" s="15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5"/>
      <c r="G288" s="16" t="str">
        <f aca="false">IF(OR(E288="",F288=""),"",IF(E288=F288,"Yes","No"))</f>
        <v/>
      </c>
      <c r="H288" s="15"/>
      <c r="I288" s="15"/>
      <c r="J288" s="15"/>
      <c r="K288" s="15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5"/>
      <c r="G289" s="16" t="str">
        <f aca="false">IF(OR(E289="",F289=""),"",IF(E289=F289,"Yes","No"))</f>
        <v/>
      </c>
      <c r="H289" s="15"/>
      <c r="I289" s="15"/>
      <c r="J289" s="15"/>
      <c r="K289" s="15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5"/>
      <c r="G290" s="16" t="str">
        <f aca="false">IF(OR(E290="",F290=""),"",IF(E290=F290,"Yes","No"))</f>
        <v/>
      </c>
      <c r="H290" s="15"/>
      <c r="I290" s="15"/>
      <c r="J290" s="15"/>
      <c r="K290" s="15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5"/>
      <c r="G291" s="16" t="str">
        <f aca="false">IF(OR(E291="",F291=""),"",IF(E291=F291,"Yes","No"))</f>
        <v/>
      </c>
      <c r="H291" s="15"/>
      <c r="I291" s="15"/>
      <c r="J291" s="15"/>
      <c r="K291" s="15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5"/>
      <c r="G292" s="16" t="str">
        <f aca="false">IF(OR(E292="",F292=""),"",IF(E292=F292,"Yes","No"))</f>
        <v/>
      </c>
      <c r="H292" s="15"/>
      <c r="I292" s="15"/>
      <c r="J292" s="15"/>
      <c r="K292" s="15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5"/>
      <c r="G293" s="16" t="str">
        <f aca="false">IF(OR(E293="",F293=""),"",IF(E293=F293,"Yes","No"))</f>
        <v/>
      </c>
      <c r="H293" s="15"/>
      <c r="I293" s="15"/>
      <c r="J293" s="15"/>
      <c r="K293" s="15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5"/>
      <c r="G294" s="16" t="str">
        <f aca="false">IF(OR(E294="",F294=""),"",IF(E294=F294,"Yes","No"))</f>
        <v/>
      </c>
      <c r="H294" s="15"/>
      <c r="I294" s="15"/>
      <c r="J294" s="15"/>
      <c r="K294" s="15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5"/>
      <c r="G295" s="16" t="str">
        <f aca="false">IF(OR(E295="",F295=""),"",IF(E295=F295,"Yes","No"))</f>
        <v/>
      </c>
      <c r="H295" s="15"/>
      <c r="I295" s="15"/>
      <c r="J295" s="15"/>
      <c r="K295" s="15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5"/>
      <c r="G296" s="16" t="str">
        <f aca="false">IF(OR(E296="",F296=""),"",IF(E296=F296,"Yes","No"))</f>
        <v/>
      </c>
      <c r="H296" s="15"/>
      <c r="I296" s="15"/>
      <c r="J296" s="15"/>
      <c r="K296" s="15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5"/>
      <c r="G297" s="16" t="str">
        <f aca="false">IF(OR(E297="",F297=""),"",IF(E297=F297,"Yes","No"))</f>
        <v/>
      </c>
      <c r="H297" s="15"/>
      <c r="I297" s="15"/>
      <c r="J297" s="15"/>
      <c r="K297" s="15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5"/>
      <c r="G298" s="16" t="str">
        <f aca="false">IF(OR(E298="",F298=""),"",IF(E298=F298,"Yes","No"))</f>
        <v/>
      </c>
      <c r="H298" s="15"/>
      <c r="I298" s="15"/>
      <c r="J298" s="15"/>
      <c r="K298" s="15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5"/>
      <c r="G299" s="16" t="str">
        <f aca="false">IF(OR(E299="",F299=""),"",IF(E299=F299,"Yes","No"))</f>
        <v/>
      </c>
      <c r="H299" s="15"/>
      <c r="I299" s="15"/>
      <c r="J299" s="15"/>
      <c r="K299" s="15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5"/>
      <c r="G300" s="16" t="str">
        <f aca="false">IF(OR(E300="",F300=""),"",IF(E300=F300,"Yes","No"))</f>
        <v/>
      </c>
      <c r="H300" s="15"/>
      <c r="I300" s="15"/>
      <c r="J300" s="15"/>
      <c r="K300" s="15"/>
    </row>
    <row r="301" customFormat="false" ht="15" hidden="false" customHeight="false" outlineLevel="0" collapsed="false">
      <c r="A301" s="15"/>
      <c r="B301" s="15"/>
      <c r="C301" s="15"/>
      <c r="D301" s="15"/>
      <c r="E301" s="15"/>
      <c r="F301" s="15"/>
      <c r="G301" s="16" t="str">
        <f aca="false">IF(OR(E301="",F301=""),"",IF(E301=F301,"Yes","No"))</f>
        <v/>
      </c>
      <c r="H301" s="15"/>
      <c r="I301" s="15"/>
      <c r="J301" s="15"/>
      <c r="K301" s="15"/>
    </row>
    <row r="302" customFormat="false" ht="15" hidden="false" customHeight="false" outlineLevel="0" collapsed="false">
      <c r="A302" s="15"/>
      <c r="B302" s="15"/>
      <c r="C302" s="15"/>
      <c r="D302" s="15"/>
      <c r="E302" s="15"/>
      <c r="F302" s="15"/>
      <c r="G302" s="16" t="str">
        <f aca="false">IF(OR(E302="",F302=""),"",IF(E302=F302,"Yes","No"))</f>
        <v/>
      </c>
      <c r="H302" s="15"/>
      <c r="I302" s="15"/>
      <c r="J302" s="15"/>
      <c r="K302" s="15"/>
    </row>
    <row r="303" customFormat="false" ht="15" hidden="false" customHeight="false" outlineLevel="0" collapsed="false">
      <c r="A303" s="15"/>
      <c r="B303" s="15"/>
      <c r="C303" s="15"/>
      <c r="D303" s="15"/>
      <c r="E303" s="15"/>
      <c r="F303" s="15"/>
      <c r="G303" s="16" t="str">
        <f aca="false">IF(OR(E303="",F303=""),"",IF(E303=F303,"Yes","No"))</f>
        <v/>
      </c>
      <c r="H303" s="15"/>
      <c r="I303" s="15"/>
      <c r="J303" s="15"/>
      <c r="K303" s="15"/>
    </row>
    <row r="304" customFormat="false" ht="15" hidden="false" customHeight="false" outlineLevel="0" collapsed="false">
      <c r="A304" s="15"/>
      <c r="B304" s="15"/>
      <c r="C304" s="15"/>
      <c r="D304" s="15"/>
      <c r="E304" s="15"/>
      <c r="F304" s="15"/>
      <c r="G304" s="16" t="str">
        <f aca="false">IF(OR(E304="",F304=""),"",IF(E304=F304,"Yes","No"))</f>
        <v/>
      </c>
      <c r="H304" s="15"/>
      <c r="I304" s="15"/>
      <c r="J304" s="15"/>
      <c r="K304" s="15"/>
    </row>
    <row r="305" customFormat="false" ht="15" hidden="false" customHeight="false" outlineLevel="0" collapsed="false">
      <c r="A305" s="15"/>
      <c r="B305" s="15"/>
      <c r="C305" s="15"/>
      <c r="D305" s="15"/>
      <c r="E305" s="15"/>
      <c r="F305" s="15"/>
      <c r="G305" s="16" t="str">
        <f aca="false">IF(OR(E305="",F305=""),"",IF(E305=F305,"Yes","No"))</f>
        <v/>
      </c>
      <c r="H305" s="15"/>
      <c r="I305" s="15"/>
      <c r="J305" s="15"/>
      <c r="K305" s="15"/>
    </row>
    <row r="306" customFormat="false" ht="15" hidden="false" customHeight="false" outlineLevel="0" collapsed="false">
      <c r="A306" s="15"/>
      <c r="B306" s="15"/>
      <c r="C306" s="15"/>
      <c r="D306" s="15"/>
      <c r="E306" s="15"/>
      <c r="F306" s="15"/>
      <c r="G306" s="16" t="str">
        <f aca="false">IF(OR(E306="",F306=""),"",IF(E306=F306,"Yes","No"))</f>
        <v/>
      </c>
      <c r="H306" s="15"/>
      <c r="I306" s="15"/>
      <c r="J306" s="15"/>
      <c r="K306" s="15"/>
    </row>
    <row r="307" customFormat="false" ht="15" hidden="false" customHeight="false" outlineLevel="0" collapsed="false">
      <c r="A307" s="15"/>
      <c r="B307" s="15"/>
      <c r="C307" s="15"/>
      <c r="D307" s="15"/>
      <c r="E307" s="15"/>
      <c r="F307" s="15"/>
      <c r="G307" s="16" t="str">
        <f aca="false">IF(OR(E307="",F307=""),"",IF(E307=F307,"Yes","No"))</f>
        <v/>
      </c>
      <c r="H307" s="15"/>
      <c r="I307" s="15"/>
      <c r="J307" s="15"/>
      <c r="K307" s="15"/>
    </row>
    <row r="308" customFormat="false" ht="15" hidden="false" customHeight="false" outlineLevel="0" collapsed="false">
      <c r="A308" s="15"/>
      <c r="B308" s="15"/>
      <c r="C308" s="15"/>
      <c r="D308" s="15"/>
      <c r="E308" s="15"/>
      <c r="F308" s="15"/>
      <c r="G308" s="16" t="str">
        <f aca="false">IF(OR(E308="",F308=""),"",IF(E308=F308,"Yes","No"))</f>
        <v/>
      </c>
      <c r="H308" s="15"/>
      <c r="I308" s="15"/>
      <c r="J308" s="15"/>
      <c r="K308" s="15"/>
    </row>
    <row r="309" customFormat="false" ht="15" hidden="false" customHeight="false" outlineLevel="0" collapsed="false">
      <c r="A309" s="15"/>
      <c r="B309" s="15"/>
      <c r="C309" s="15"/>
      <c r="D309" s="15"/>
      <c r="E309" s="15"/>
      <c r="F309" s="15"/>
      <c r="G309" s="16" t="str">
        <f aca="false">IF(OR(E309="",F309=""),"",IF(E309=F309,"Yes","No"))</f>
        <v/>
      </c>
      <c r="H309" s="15"/>
      <c r="I309" s="15"/>
      <c r="J309" s="15"/>
      <c r="K309" s="15"/>
    </row>
    <row r="310" customFormat="false" ht="15" hidden="false" customHeight="false" outlineLevel="0" collapsed="false">
      <c r="A310" s="15"/>
      <c r="B310" s="15"/>
      <c r="C310" s="15"/>
      <c r="D310" s="15"/>
      <c r="E310" s="15"/>
      <c r="F310" s="15"/>
      <c r="G310" s="16" t="str">
        <f aca="false">IF(OR(E310="",F310=""),"",IF(E310=F310,"Yes","No"))</f>
        <v/>
      </c>
      <c r="H310" s="15"/>
      <c r="I310" s="15"/>
      <c r="J310" s="15"/>
      <c r="K310" s="15"/>
    </row>
    <row r="311" customFormat="false" ht="15" hidden="false" customHeight="false" outlineLevel="0" collapsed="false">
      <c r="A311" s="15"/>
      <c r="B311" s="15"/>
      <c r="C311" s="15"/>
      <c r="D311" s="15"/>
      <c r="E311" s="15"/>
      <c r="F311" s="15"/>
      <c r="G311" s="16" t="str">
        <f aca="false">IF(OR(E311="",F311=""),"",IF(E311=F311,"Yes","No"))</f>
        <v/>
      </c>
      <c r="H311" s="15"/>
      <c r="I311" s="15"/>
      <c r="J311" s="15"/>
      <c r="K311" s="15"/>
    </row>
    <row r="312" customFormat="false" ht="15" hidden="false" customHeight="false" outlineLevel="0" collapsed="false">
      <c r="A312" s="15"/>
      <c r="B312" s="15"/>
      <c r="C312" s="15"/>
      <c r="D312" s="15"/>
      <c r="E312" s="15"/>
      <c r="F312" s="15"/>
      <c r="G312" s="16" t="str">
        <f aca="false">IF(OR(E312="",F312=""),"",IF(E312=F312,"Yes","No"))</f>
        <v/>
      </c>
      <c r="H312" s="15"/>
      <c r="I312" s="15"/>
      <c r="J312" s="15"/>
      <c r="K312" s="15"/>
    </row>
    <row r="313" customFormat="false" ht="15" hidden="false" customHeight="false" outlineLevel="0" collapsed="false">
      <c r="A313" s="15"/>
      <c r="B313" s="15"/>
      <c r="C313" s="15"/>
      <c r="D313" s="15"/>
      <c r="E313" s="15"/>
      <c r="F313" s="15"/>
      <c r="G313" s="16" t="str">
        <f aca="false">IF(OR(E313="",F313=""),"",IF(E313=F313,"Yes","No"))</f>
        <v/>
      </c>
      <c r="H313" s="15"/>
      <c r="I313" s="15"/>
      <c r="J313" s="15"/>
      <c r="K313" s="15"/>
    </row>
    <row r="314" customFormat="false" ht="15" hidden="false" customHeight="false" outlineLevel="0" collapsed="false">
      <c r="A314" s="15"/>
      <c r="B314" s="15"/>
      <c r="C314" s="15"/>
      <c r="D314" s="15"/>
      <c r="E314" s="15"/>
      <c r="F314" s="15"/>
      <c r="G314" s="16" t="str">
        <f aca="false">IF(OR(E314="",F314=""),"",IF(E314=F314,"Yes","No"))</f>
        <v/>
      </c>
      <c r="H314" s="15"/>
      <c r="I314" s="15"/>
      <c r="J314" s="15"/>
      <c r="K314" s="15"/>
    </row>
    <row r="315" customFormat="false" ht="15" hidden="false" customHeight="false" outlineLevel="0" collapsed="false">
      <c r="A315" s="15"/>
      <c r="B315" s="15"/>
      <c r="C315" s="15"/>
      <c r="D315" s="15"/>
      <c r="E315" s="15"/>
      <c r="F315" s="15"/>
      <c r="G315" s="16" t="str">
        <f aca="false">IF(OR(E315="",F315=""),"",IF(E315=F315,"Yes","No"))</f>
        <v/>
      </c>
      <c r="H315" s="15"/>
      <c r="I315" s="15"/>
      <c r="J315" s="15"/>
      <c r="K315" s="15"/>
    </row>
    <row r="316" customFormat="false" ht="15" hidden="false" customHeight="false" outlineLevel="0" collapsed="false">
      <c r="A316" s="15"/>
      <c r="B316" s="15"/>
      <c r="C316" s="15"/>
      <c r="D316" s="15"/>
      <c r="E316" s="15"/>
      <c r="F316" s="15"/>
      <c r="G316" s="16" t="str">
        <f aca="false">IF(OR(E316="",F316=""),"",IF(E316=F316,"Yes","No"))</f>
        <v/>
      </c>
      <c r="H316" s="15"/>
      <c r="I316" s="15"/>
      <c r="J316" s="15"/>
      <c r="K316" s="15"/>
    </row>
    <row r="317" customFormat="false" ht="15" hidden="false" customHeight="false" outlineLevel="0" collapsed="false">
      <c r="A317" s="15"/>
      <c r="B317" s="15"/>
      <c r="C317" s="15"/>
      <c r="D317" s="15"/>
      <c r="E317" s="15"/>
      <c r="F317" s="15"/>
      <c r="G317" s="16" t="str">
        <f aca="false">IF(OR(E317="",F317=""),"",IF(E317=F317,"Yes","No"))</f>
        <v/>
      </c>
      <c r="H317" s="15"/>
      <c r="I317" s="15"/>
      <c r="J317" s="15"/>
      <c r="K317" s="15"/>
    </row>
    <row r="318" customFormat="false" ht="15" hidden="false" customHeight="false" outlineLevel="0" collapsed="false">
      <c r="A318" s="15"/>
      <c r="B318" s="15"/>
      <c r="C318" s="15"/>
      <c r="D318" s="15"/>
      <c r="E318" s="15"/>
      <c r="F318" s="15"/>
      <c r="G318" s="16" t="str">
        <f aca="false">IF(OR(E318="",F318=""),"",IF(E318=F318,"Yes","No"))</f>
        <v/>
      </c>
      <c r="H318" s="15"/>
      <c r="I318" s="15"/>
      <c r="J318" s="15"/>
      <c r="K318" s="15"/>
    </row>
    <row r="319" customFormat="false" ht="15" hidden="false" customHeight="false" outlineLevel="0" collapsed="false">
      <c r="A319" s="15"/>
      <c r="B319" s="15"/>
      <c r="C319" s="15"/>
      <c r="D319" s="15"/>
      <c r="E319" s="15"/>
      <c r="F319" s="15"/>
      <c r="G319" s="16" t="str">
        <f aca="false">IF(OR(E319="",F319=""),"",IF(E319=F319,"Yes","No"))</f>
        <v/>
      </c>
      <c r="H319" s="15"/>
      <c r="I319" s="15"/>
      <c r="J319" s="15"/>
      <c r="K319" s="15"/>
    </row>
    <row r="320" customFormat="false" ht="15" hidden="false" customHeight="false" outlineLevel="0" collapsed="false">
      <c r="A320" s="15"/>
      <c r="B320" s="15"/>
      <c r="C320" s="15"/>
      <c r="D320" s="15"/>
      <c r="E320" s="15"/>
      <c r="F320" s="15"/>
      <c r="G320" s="16" t="str">
        <f aca="false">IF(OR(E320="",F320=""),"",IF(E320=F320,"Yes","No"))</f>
        <v/>
      </c>
      <c r="H320" s="15"/>
      <c r="I320" s="15"/>
      <c r="J320" s="15"/>
      <c r="K320" s="15"/>
    </row>
    <row r="321" customFormat="false" ht="15" hidden="false" customHeight="false" outlineLevel="0" collapsed="false">
      <c r="A321" s="15"/>
      <c r="B321" s="15"/>
      <c r="C321" s="15"/>
      <c r="D321" s="15"/>
      <c r="E321" s="15"/>
      <c r="F321" s="15"/>
      <c r="G321" s="16" t="str">
        <f aca="false">IF(OR(E321="",F321=""),"",IF(E321=F321,"Yes","No"))</f>
        <v/>
      </c>
      <c r="H321" s="15"/>
      <c r="I321" s="15"/>
      <c r="J321" s="15"/>
      <c r="K321" s="15"/>
    </row>
    <row r="322" customFormat="false" ht="15" hidden="false" customHeight="false" outlineLevel="0" collapsed="false">
      <c r="A322" s="15"/>
      <c r="B322" s="15"/>
      <c r="C322" s="15"/>
      <c r="D322" s="15"/>
      <c r="E322" s="15"/>
      <c r="F322" s="15"/>
      <c r="G322" s="16" t="str">
        <f aca="false">IF(OR(E322="",F322=""),"",IF(E322=F322,"Yes","No"))</f>
        <v/>
      </c>
      <c r="H322" s="15"/>
      <c r="I322" s="15"/>
      <c r="J322" s="15"/>
      <c r="K322" s="15"/>
    </row>
    <row r="323" customFormat="false" ht="15" hidden="false" customHeight="false" outlineLevel="0" collapsed="false">
      <c r="A323" s="15"/>
      <c r="B323" s="15"/>
      <c r="C323" s="15"/>
      <c r="D323" s="15"/>
      <c r="E323" s="15"/>
      <c r="F323" s="15"/>
      <c r="G323" s="16" t="str">
        <f aca="false">IF(OR(E323="",F323=""),"",IF(E323=F323,"Yes","No"))</f>
        <v/>
      </c>
      <c r="H323" s="15"/>
      <c r="I323" s="15"/>
      <c r="J323" s="15"/>
      <c r="K323" s="15"/>
    </row>
    <row r="324" customFormat="false" ht="15" hidden="false" customHeight="false" outlineLevel="0" collapsed="false">
      <c r="A324" s="15"/>
      <c r="B324" s="15"/>
      <c r="C324" s="15"/>
      <c r="D324" s="15"/>
      <c r="E324" s="15"/>
      <c r="F324" s="15"/>
      <c r="G324" s="16" t="str">
        <f aca="false">IF(OR(E324="",F324=""),"",IF(E324=F324,"Yes","No"))</f>
        <v/>
      </c>
      <c r="H324" s="15"/>
      <c r="I324" s="15"/>
      <c r="J324" s="15"/>
      <c r="K324" s="15"/>
    </row>
    <row r="325" customFormat="false" ht="15" hidden="false" customHeight="false" outlineLevel="0" collapsed="false">
      <c r="A325" s="15"/>
      <c r="B325" s="15"/>
      <c r="C325" s="15"/>
      <c r="D325" s="15"/>
      <c r="E325" s="15"/>
      <c r="F325" s="15"/>
      <c r="G325" s="16" t="str">
        <f aca="false">IF(OR(E325="",F325=""),"",IF(E325=F325,"Yes","No"))</f>
        <v/>
      </c>
      <c r="H325" s="15"/>
      <c r="I325" s="15"/>
      <c r="J325" s="15"/>
      <c r="K325" s="15"/>
    </row>
    <row r="326" customFormat="false" ht="15" hidden="false" customHeight="false" outlineLevel="0" collapsed="false">
      <c r="A326" s="15"/>
      <c r="B326" s="15"/>
      <c r="C326" s="15"/>
      <c r="D326" s="15"/>
      <c r="E326" s="15"/>
      <c r="F326" s="15"/>
      <c r="G326" s="16" t="str">
        <f aca="false">IF(OR(E326="",F326=""),"",IF(E326=F326,"Yes","No"))</f>
        <v/>
      </c>
      <c r="H326" s="15"/>
      <c r="I326" s="15"/>
      <c r="J326" s="15"/>
      <c r="K326" s="15"/>
    </row>
    <row r="327" customFormat="false" ht="15" hidden="false" customHeight="false" outlineLevel="0" collapsed="false">
      <c r="A327" s="15"/>
      <c r="B327" s="15"/>
      <c r="C327" s="15"/>
      <c r="D327" s="15"/>
      <c r="E327" s="15"/>
      <c r="F327" s="15"/>
      <c r="G327" s="16" t="str">
        <f aca="false">IF(OR(E327="",F327=""),"",IF(E327=F327,"Yes","No"))</f>
        <v/>
      </c>
      <c r="H327" s="15"/>
      <c r="I327" s="15"/>
      <c r="J327" s="15"/>
      <c r="K327" s="15"/>
    </row>
    <row r="328" customFormat="false" ht="15" hidden="false" customHeight="false" outlineLevel="0" collapsed="false">
      <c r="A328" s="15"/>
      <c r="B328" s="15"/>
      <c r="C328" s="15"/>
      <c r="D328" s="15"/>
      <c r="E328" s="15"/>
      <c r="F328" s="15"/>
      <c r="G328" s="16" t="str">
        <f aca="false">IF(OR(E328="",F328=""),"",IF(E328=F328,"Yes","No"))</f>
        <v/>
      </c>
      <c r="H328" s="15"/>
      <c r="I328" s="15"/>
      <c r="J328" s="15"/>
      <c r="K328" s="15"/>
    </row>
    <row r="329" customFormat="false" ht="15" hidden="false" customHeight="false" outlineLevel="0" collapsed="false">
      <c r="A329" s="15"/>
      <c r="B329" s="15"/>
      <c r="C329" s="15"/>
      <c r="D329" s="15"/>
      <c r="E329" s="15"/>
      <c r="F329" s="15"/>
      <c r="G329" s="16" t="str">
        <f aca="false">IF(OR(E329="",F329=""),"",IF(E329=F329,"Yes","No"))</f>
        <v/>
      </c>
      <c r="H329" s="15"/>
      <c r="I329" s="15"/>
      <c r="J329" s="15"/>
      <c r="K329" s="15"/>
    </row>
    <row r="330" customFormat="false" ht="15" hidden="false" customHeight="false" outlineLevel="0" collapsed="false">
      <c r="A330" s="15"/>
      <c r="B330" s="15"/>
      <c r="C330" s="15"/>
      <c r="D330" s="15"/>
      <c r="E330" s="15"/>
      <c r="F330" s="15"/>
      <c r="G330" s="16" t="str">
        <f aca="false">IF(OR(E330="",F330=""),"",IF(E330=F330,"Yes","No"))</f>
        <v/>
      </c>
      <c r="H330" s="15"/>
      <c r="I330" s="15"/>
      <c r="J330" s="15"/>
      <c r="K330" s="15"/>
    </row>
    <row r="331" customFormat="false" ht="15" hidden="false" customHeight="false" outlineLevel="0" collapsed="false">
      <c r="A331" s="15"/>
      <c r="B331" s="15"/>
      <c r="C331" s="15"/>
      <c r="D331" s="15"/>
      <c r="E331" s="15"/>
      <c r="F331" s="15"/>
      <c r="G331" s="16" t="str">
        <f aca="false">IF(OR(E331="",F331=""),"",IF(E331=F331,"Yes","No"))</f>
        <v/>
      </c>
      <c r="H331" s="15"/>
      <c r="I331" s="15"/>
      <c r="J331" s="15"/>
      <c r="K331" s="15"/>
    </row>
    <row r="332" customFormat="false" ht="15" hidden="false" customHeight="false" outlineLevel="0" collapsed="false">
      <c r="A332" s="15"/>
      <c r="B332" s="15"/>
      <c r="C332" s="15"/>
      <c r="D332" s="15"/>
      <c r="E332" s="15"/>
      <c r="F332" s="15"/>
      <c r="G332" s="16" t="str">
        <f aca="false">IF(OR(E332="",F332=""),"",IF(E332=F332,"Yes","No"))</f>
        <v/>
      </c>
      <c r="H332" s="15"/>
      <c r="I332" s="15"/>
      <c r="J332" s="15"/>
      <c r="K332" s="15"/>
    </row>
    <row r="333" customFormat="false" ht="15" hidden="false" customHeight="false" outlineLevel="0" collapsed="false">
      <c r="A333" s="15"/>
      <c r="B333" s="15"/>
      <c r="C333" s="15"/>
      <c r="D333" s="15"/>
      <c r="E333" s="15"/>
      <c r="F333" s="15"/>
      <c r="G333" s="16" t="str">
        <f aca="false">IF(OR(E333="",F333=""),"",IF(E333=F333,"Yes","No"))</f>
        <v/>
      </c>
      <c r="H333" s="15"/>
      <c r="I333" s="15"/>
      <c r="J333" s="15"/>
      <c r="K333" s="15"/>
    </row>
    <row r="334" customFormat="false" ht="15" hidden="false" customHeight="false" outlineLevel="0" collapsed="false">
      <c r="A334" s="15"/>
      <c r="B334" s="15"/>
      <c r="C334" s="15"/>
      <c r="D334" s="15"/>
      <c r="E334" s="15"/>
      <c r="F334" s="15"/>
      <c r="G334" s="16" t="str">
        <f aca="false">IF(OR(E334="",F334=""),"",IF(E334=F334,"Yes","No"))</f>
        <v/>
      </c>
      <c r="H334" s="15"/>
      <c r="I334" s="15"/>
      <c r="J334" s="15"/>
      <c r="K334" s="15"/>
    </row>
    <row r="335" customFormat="false" ht="15" hidden="false" customHeight="false" outlineLevel="0" collapsed="false">
      <c r="A335" s="15"/>
      <c r="B335" s="15"/>
      <c r="C335" s="15"/>
      <c r="D335" s="15"/>
      <c r="E335" s="15"/>
      <c r="F335" s="15"/>
      <c r="G335" s="16" t="str">
        <f aca="false">IF(OR(E335="",F335=""),"",IF(E335=F335,"Yes","No"))</f>
        <v/>
      </c>
      <c r="H335" s="15"/>
      <c r="I335" s="15"/>
      <c r="J335" s="15"/>
      <c r="K335" s="15"/>
    </row>
    <row r="336" customFormat="false" ht="15" hidden="false" customHeight="false" outlineLevel="0" collapsed="false">
      <c r="A336" s="15"/>
      <c r="B336" s="15"/>
      <c r="C336" s="15"/>
      <c r="D336" s="15"/>
      <c r="E336" s="15"/>
      <c r="F336" s="15"/>
      <c r="G336" s="16" t="str">
        <f aca="false">IF(OR(E336="",F336=""),"",IF(E336=F336,"Yes","No"))</f>
        <v/>
      </c>
      <c r="H336" s="15"/>
      <c r="I336" s="15"/>
      <c r="J336" s="15"/>
      <c r="K336" s="15"/>
    </row>
    <row r="337" customFormat="false" ht="15" hidden="false" customHeight="false" outlineLevel="0" collapsed="false">
      <c r="A337" s="15"/>
      <c r="B337" s="15"/>
      <c r="C337" s="15"/>
      <c r="D337" s="15"/>
      <c r="E337" s="15"/>
      <c r="F337" s="15"/>
      <c r="G337" s="16" t="str">
        <f aca="false">IF(OR(E337="",F337=""),"",IF(E337=F337,"Yes","No"))</f>
        <v/>
      </c>
      <c r="H337" s="15"/>
      <c r="I337" s="15"/>
      <c r="J337" s="15"/>
      <c r="K337" s="15"/>
    </row>
    <row r="338" customFormat="false" ht="15" hidden="false" customHeight="false" outlineLevel="0" collapsed="false">
      <c r="A338" s="15"/>
      <c r="B338" s="15"/>
      <c r="C338" s="15"/>
      <c r="D338" s="15"/>
      <c r="E338" s="15"/>
      <c r="F338" s="15"/>
      <c r="G338" s="16" t="str">
        <f aca="false">IF(OR(E338="",F338=""),"",IF(E338=F338,"Yes","No"))</f>
        <v/>
      </c>
      <c r="H338" s="15"/>
      <c r="I338" s="15"/>
      <c r="J338" s="15"/>
      <c r="K338" s="15"/>
    </row>
    <row r="339" customFormat="false" ht="15" hidden="false" customHeight="false" outlineLevel="0" collapsed="false">
      <c r="A339" s="15"/>
      <c r="B339" s="15"/>
      <c r="C339" s="15"/>
      <c r="D339" s="15"/>
      <c r="E339" s="15"/>
      <c r="F339" s="15"/>
      <c r="G339" s="16" t="str">
        <f aca="false">IF(OR(E339="",F339=""),"",IF(E339=F339,"Yes","No"))</f>
        <v/>
      </c>
      <c r="H339" s="15"/>
      <c r="I339" s="15"/>
      <c r="J339" s="15"/>
      <c r="K339" s="15"/>
    </row>
    <row r="340" customFormat="false" ht="15" hidden="false" customHeight="false" outlineLevel="0" collapsed="false">
      <c r="A340" s="15"/>
      <c r="B340" s="15"/>
      <c r="C340" s="15"/>
      <c r="D340" s="15"/>
      <c r="E340" s="15"/>
      <c r="F340" s="15"/>
      <c r="G340" s="16" t="str">
        <f aca="false">IF(OR(E340="",F340=""),"",IF(E340=F340,"Yes","No"))</f>
        <v/>
      </c>
      <c r="H340" s="15"/>
      <c r="I340" s="15"/>
      <c r="J340" s="15"/>
      <c r="K340" s="15"/>
    </row>
    <row r="341" customFormat="false" ht="15" hidden="false" customHeight="false" outlineLevel="0" collapsed="false">
      <c r="A341" s="15"/>
      <c r="B341" s="15"/>
      <c r="C341" s="15"/>
      <c r="D341" s="15"/>
      <c r="E341" s="15"/>
      <c r="F341" s="15"/>
      <c r="G341" s="16" t="str">
        <f aca="false">IF(OR(E341="",F341=""),"",IF(E341=F341,"Yes","No"))</f>
        <v/>
      </c>
      <c r="H341" s="15"/>
      <c r="I341" s="15"/>
      <c r="J341" s="15"/>
      <c r="K341" s="15"/>
    </row>
    <row r="342" customFormat="false" ht="15" hidden="false" customHeight="false" outlineLevel="0" collapsed="false">
      <c r="A342" s="15"/>
      <c r="B342" s="15"/>
      <c r="C342" s="15"/>
      <c r="D342" s="15"/>
      <c r="E342" s="15"/>
      <c r="F342" s="15"/>
      <c r="G342" s="16" t="str">
        <f aca="false">IF(OR(E342="",F342=""),"",IF(E342=F342,"Yes","No"))</f>
        <v/>
      </c>
      <c r="H342" s="15"/>
      <c r="I342" s="15"/>
      <c r="J342" s="15"/>
      <c r="K342" s="15"/>
    </row>
    <row r="343" customFormat="false" ht="15" hidden="false" customHeight="false" outlineLevel="0" collapsed="false">
      <c r="A343" s="15"/>
      <c r="B343" s="15"/>
      <c r="C343" s="15"/>
      <c r="D343" s="15"/>
      <c r="E343" s="15"/>
      <c r="F343" s="15"/>
      <c r="G343" s="16" t="str">
        <f aca="false">IF(OR(E343="",F343=""),"",IF(E343=F343,"Yes","No"))</f>
        <v/>
      </c>
      <c r="H343" s="15"/>
      <c r="I343" s="15"/>
      <c r="J343" s="15"/>
      <c r="K343" s="15"/>
    </row>
    <row r="344" customFormat="false" ht="15" hidden="false" customHeight="false" outlineLevel="0" collapsed="false">
      <c r="A344" s="15"/>
      <c r="B344" s="15"/>
      <c r="C344" s="15"/>
      <c r="D344" s="15"/>
      <c r="E344" s="15"/>
      <c r="F344" s="15"/>
      <c r="G344" s="16" t="str">
        <f aca="false">IF(OR(E344="",F344=""),"",IF(E344=F344,"Yes","No"))</f>
        <v/>
      </c>
      <c r="H344" s="15"/>
      <c r="I344" s="15"/>
      <c r="J344" s="15"/>
      <c r="K344" s="15"/>
    </row>
    <row r="345" customFormat="false" ht="15" hidden="false" customHeight="false" outlineLevel="0" collapsed="false">
      <c r="A345" s="15"/>
      <c r="B345" s="15"/>
      <c r="C345" s="15"/>
      <c r="D345" s="15"/>
      <c r="E345" s="15"/>
      <c r="F345" s="15"/>
      <c r="G345" s="16" t="str">
        <f aca="false">IF(OR(E345="",F345=""),"",IF(E345=F345,"Yes","No"))</f>
        <v/>
      </c>
      <c r="H345" s="15"/>
      <c r="I345" s="15"/>
      <c r="J345" s="15"/>
      <c r="K345" s="15"/>
    </row>
    <row r="346" customFormat="false" ht="15" hidden="false" customHeight="false" outlineLevel="0" collapsed="false">
      <c r="A346" s="15"/>
      <c r="B346" s="15"/>
      <c r="C346" s="15"/>
      <c r="D346" s="15"/>
      <c r="E346" s="15"/>
      <c r="F346" s="15"/>
      <c r="G346" s="16" t="str">
        <f aca="false">IF(OR(E346="",F346=""),"",IF(E346=F346,"Yes","No"))</f>
        <v/>
      </c>
      <c r="H346" s="15"/>
      <c r="I346" s="15"/>
      <c r="J346" s="15"/>
      <c r="K346" s="15"/>
    </row>
    <row r="347" customFormat="false" ht="15" hidden="false" customHeight="false" outlineLevel="0" collapsed="false">
      <c r="A347" s="15"/>
      <c r="B347" s="15"/>
      <c r="C347" s="15"/>
      <c r="D347" s="15"/>
      <c r="E347" s="15"/>
      <c r="F347" s="15"/>
      <c r="G347" s="16" t="str">
        <f aca="false">IF(OR(E347="",F347=""),"",IF(E347=F347,"Yes","No"))</f>
        <v/>
      </c>
      <c r="H347" s="15"/>
      <c r="I347" s="15"/>
      <c r="J347" s="15"/>
      <c r="K347" s="15"/>
    </row>
    <row r="348" customFormat="false" ht="15" hidden="false" customHeight="false" outlineLevel="0" collapsed="false">
      <c r="A348" s="15"/>
      <c r="B348" s="15"/>
      <c r="C348" s="15"/>
      <c r="D348" s="15"/>
      <c r="E348" s="15"/>
      <c r="F348" s="15"/>
      <c r="G348" s="16" t="str">
        <f aca="false">IF(OR(E348="",F348=""),"",IF(E348=F348,"Yes","No"))</f>
        <v/>
      </c>
      <c r="H348" s="15"/>
      <c r="I348" s="15"/>
      <c r="J348" s="15"/>
      <c r="K348" s="15"/>
    </row>
    <row r="349" customFormat="false" ht="15" hidden="false" customHeight="false" outlineLevel="0" collapsed="false">
      <c r="A349" s="15"/>
      <c r="B349" s="15"/>
      <c r="C349" s="15"/>
      <c r="D349" s="15"/>
      <c r="E349" s="15"/>
      <c r="F349" s="15"/>
      <c r="G349" s="16" t="str">
        <f aca="false">IF(OR(E349="",F349=""),"",IF(E349=F349,"Yes","No"))</f>
        <v/>
      </c>
      <c r="H349" s="15"/>
      <c r="I349" s="15"/>
      <c r="J349" s="15"/>
      <c r="K349" s="15"/>
    </row>
    <row r="350" customFormat="false" ht="15" hidden="false" customHeight="false" outlineLevel="0" collapsed="false">
      <c r="A350" s="15"/>
      <c r="B350" s="15"/>
      <c r="C350" s="15"/>
      <c r="D350" s="15"/>
      <c r="E350" s="15"/>
      <c r="F350" s="15"/>
      <c r="G350" s="16" t="str">
        <f aca="false">IF(OR(E350="",F350=""),"",IF(E350=F350,"Yes","No"))</f>
        <v/>
      </c>
      <c r="H350" s="15"/>
      <c r="I350" s="15"/>
      <c r="J350" s="15"/>
      <c r="K350" s="15"/>
    </row>
    <row r="351" customFormat="false" ht="15" hidden="false" customHeight="false" outlineLevel="0" collapsed="false">
      <c r="A351" s="15"/>
      <c r="B351" s="15"/>
      <c r="C351" s="15"/>
      <c r="D351" s="15"/>
      <c r="E351" s="15"/>
      <c r="F351" s="15"/>
      <c r="G351" s="16" t="str">
        <f aca="false">IF(OR(E351="",F351=""),"",IF(E351=F351,"Yes","No"))</f>
        <v/>
      </c>
      <c r="H351" s="15"/>
      <c r="I351" s="15"/>
      <c r="J351" s="15"/>
      <c r="K351" s="15"/>
    </row>
    <row r="352" customFormat="false" ht="15" hidden="false" customHeight="false" outlineLevel="0" collapsed="false">
      <c r="A352" s="15"/>
      <c r="B352" s="15"/>
      <c r="C352" s="15"/>
      <c r="D352" s="15"/>
      <c r="E352" s="15"/>
      <c r="F352" s="15"/>
      <c r="G352" s="16" t="str">
        <f aca="false">IF(OR(E352="",F352=""),"",IF(E352=F352,"Yes","No"))</f>
        <v/>
      </c>
      <c r="H352" s="15"/>
      <c r="I352" s="15"/>
      <c r="J352" s="15"/>
      <c r="K352" s="15"/>
    </row>
    <row r="353" customFormat="false" ht="15" hidden="false" customHeight="false" outlineLevel="0" collapsed="false">
      <c r="A353" s="15"/>
      <c r="B353" s="15"/>
      <c r="C353" s="15"/>
      <c r="D353" s="15"/>
      <c r="E353" s="15"/>
      <c r="F353" s="15"/>
      <c r="G353" s="16" t="str">
        <f aca="false">IF(OR(E353="",F353=""),"",IF(E353=F353,"Yes","No"))</f>
        <v/>
      </c>
      <c r="H353" s="15"/>
      <c r="I353" s="15"/>
      <c r="J353" s="15"/>
      <c r="K353" s="15"/>
    </row>
    <row r="354" customFormat="false" ht="15" hidden="false" customHeight="false" outlineLevel="0" collapsed="false">
      <c r="A354" s="15"/>
      <c r="B354" s="15"/>
      <c r="C354" s="15"/>
      <c r="D354" s="15"/>
      <c r="E354" s="15"/>
      <c r="F354" s="15"/>
      <c r="G354" s="16" t="str">
        <f aca="false">IF(OR(E354="",F354=""),"",IF(E354=F354,"Yes","No"))</f>
        <v/>
      </c>
      <c r="H354" s="15"/>
      <c r="I354" s="15"/>
      <c r="J354" s="15"/>
      <c r="K354" s="15"/>
    </row>
    <row r="355" customFormat="false" ht="15" hidden="false" customHeight="false" outlineLevel="0" collapsed="false">
      <c r="A355" s="15"/>
      <c r="B355" s="15"/>
      <c r="C355" s="15"/>
      <c r="D355" s="15"/>
      <c r="E355" s="15"/>
      <c r="F355" s="15"/>
      <c r="G355" s="16" t="str">
        <f aca="false">IF(OR(E355="",F355=""),"",IF(E355=F355,"Yes","No"))</f>
        <v/>
      </c>
      <c r="H355" s="15"/>
      <c r="I355" s="15"/>
      <c r="J355" s="15"/>
      <c r="K355" s="15"/>
    </row>
    <row r="356" customFormat="false" ht="15" hidden="false" customHeight="false" outlineLevel="0" collapsed="false">
      <c r="A356" s="15"/>
      <c r="B356" s="15"/>
      <c r="C356" s="15"/>
      <c r="D356" s="15"/>
      <c r="E356" s="15"/>
      <c r="F356" s="15"/>
      <c r="G356" s="16" t="str">
        <f aca="false">IF(OR(E356="",F356=""),"",IF(E356=F356,"Yes","No"))</f>
        <v/>
      </c>
      <c r="H356" s="15"/>
      <c r="I356" s="15"/>
      <c r="J356" s="15"/>
      <c r="K356" s="15"/>
    </row>
    <row r="357" customFormat="false" ht="15" hidden="false" customHeight="false" outlineLevel="0" collapsed="false">
      <c r="A357" s="15"/>
      <c r="B357" s="15"/>
      <c r="C357" s="15"/>
      <c r="D357" s="15"/>
      <c r="E357" s="15"/>
      <c r="F357" s="15"/>
      <c r="G357" s="16" t="str">
        <f aca="false">IF(OR(E357="",F357=""),"",IF(E357=F357,"Yes","No"))</f>
        <v/>
      </c>
      <c r="H357" s="15"/>
      <c r="I357" s="15"/>
      <c r="J357" s="15"/>
      <c r="K357" s="15"/>
    </row>
    <row r="358" customFormat="false" ht="15" hidden="false" customHeight="false" outlineLevel="0" collapsed="false">
      <c r="A358" s="15"/>
      <c r="B358" s="15"/>
      <c r="C358" s="15"/>
      <c r="D358" s="15"/>
      <c r="E358" s="15"/>
      <c r="F358" s="15"/>
      <c r="G358" s="16" t="str">
        <f aca="false">IF(OR(E358="",F358=""),"",IF(E358=F358,"Yes","No"))</f>
        <v/>
      </c>
      <c r="H358" s="15"/>
      <c r="I358" s="15"/>
      <c r="J358" s="15"/>
      <c r="K358" s="15"/>
    </row>
    <row r="359" customFormat="false" ht="15" hidden="false" customHeight="false" outlineLevel="0" collapsed="false">
      <c r="A359" s="15"/>
      <c r="B359" s="15"/>
      <c r="C359" s="15"/>
      <c r="D359" s="15"/>
      <c r="E359" s="15"/>
      <c r="F359" s="15"/>
      <c r="G359" s="16" t="str">
        <f aca="false">IF(OR(E359="",F359=""),"",IF(E359=F359,"Yes","No"))</f>
        <v/>
      </c>
      <c r="H359" s="15"/>
      <c r="I359" s="15"/>
      <c r="J359" s="15"/>
      <c r="K359" s="15"/>
    </row>
    <row r="360" customFormat="false" ht="15" hidden="false" customHeight="false" outlineLevel="0" collapsed="false">
      <c r="A360" s="15"/>
      <c r="B360" s="15"/>
      <c r="C360" s="15"/>
      <c r="D360" s="15"/>
      <c r="E360" s="15"/>
      <c r="F360" s="15"/>
      <c r="G360" s="16" t="str">
        <f aca="false">IF(OR(E360="",F360=""),"",IF(E360=F360,"Yes","No"))</f>
        <v/>
      </c>
      <c r="H360" s="15"/>
      <c r="I360" s="15"/>
      <c r="J360" s="15"/>
      <c r="K360" s="15"/>
    </row>
    <row r="361" customFormat="false" ht="15" hidden="false" customHeight="false" outlineLevel="0" collapsed="false">
      <c r="A361" s="15"/>
      <c r="B361" s="15"/>
      <c r="C361" s="15"/>
      <c r="D361" s="15"/>
      <c r="E361" s="15"/>
      <c r="F361" s="15"/>
      <c r="G361" s="16" t="str">
        <f aca="false">IF(OR(E361="",F361=""),"",IF(E361=F361,"Yes","No"))</f>
        <v/>
      </c>
      <c r="H361" s="15"/>
      <c r="I361" s="15"/>
      <c r="J361" s="15"/>
      <c r="K361" s="15"/>
    </row>
    <row r="362" customFormat="false" ht="15" hidden="false" customHeight="false" outlineLevel="0" collapsed="false">
      <c r="A362" s="15"/>
      <c r="B362" s="15"/>
      <c r="C362" s="15"/>
      <c r="D362" s="15"/>
      <c r="E362" s="15"/>
      <c r="F362" s="15"/>
      <c r="G362" s="16" t="str">
        <f aca="false">IF(OR(E362="",F362=""),"",IF(E362=F362,"Yes","No"))</f>
        <v/>
      </c>
      <c r="H362" s="15"/>
      <c r="I362" s="15"/>
      <c r="J362" s="15"/>
      <c r="K362" s="15"/>
    </row>
    <row r="363" customFormat="false" ht="15" hidden="false" customHeight="false" outlineLevel="0" collapsed="false">
      <c r="A363" s="15"/>
      <c r="B363" s="15"/>
      <c r="C363" s="15"/>
      <c r="D363" s="15"/>
      <c r="E363" s="15"/>
      <c r="F363" s="15"/>
      <c r="G363" s="16" t="str">
        <f aca="false">IF(OR(E363="",F363=""),"",IF(E363=F363,"Yes","No"))</f>
        <v/>
      </c>
      <c r="H363" s="15"/>
      <c r="I363" s="15"/>
      <c r="J363" s="15"/>
      <c r="K363" s="15"/>
    </row>
    <row r="364" customFormat="false" ht="15" hidden="false" customHeight="false" outlineLevel="0" collapsed="false">
      <c r="A364" s="15"/>
      <c r="B364" s="15"/>
      <c r="C364" s="15"/>
      <c r="D364" s="15"/>
      <c r="E364" s="15"/>
      <c r="F364" s="15"/>
      <c r="G364" s="16" t="str">
        <f aca="false">IF(OR(E364="",F364=""),"",IF(E364=F364,"Yes","No"))</f>
        <v/>
      </c>
      <c r="H364" s="15"/>
      <c r="I364" s="15"/>
      <c r="J364" s="15"/>
      <c r="K364" s="15"/>
    </row>
    <row r="365" customFormat="false" ht="15" hidden="false" customHeight="false" outlineLevel="0" collapsed="false">
      <c r="A365" s="15"/>
      <c r="B365" s="15"/>
      <c r="C365" s="15"/>
      <c r="D365" s="15"/>
      <c r="E365" s="15"/>
      <c r="F365" s="15"/>
      <c r="G365" s="16" t="str">
        <f aca="false">IF(OR(E365="",F365=""),"",IF(E365=F365,"Yes","No"))</f>
        <v/>
      </c>
      <c r="H365" s="15"/>
      <c r="I365" s="15"/>
      <c r="J365" s="15"/>
      <c r="K365" s="15"/>
    </row>
    <row r="366" customFormat="false" ht="15" hidden="false" customHeight="false" outlineLevel="0" collapsed="false">
      <c r="A366" s="15"/>
      <c r="B366" s="15"/>
      <c r="C366" s="15"/>
      <c r="D366" s="15"/>
      <c r="E366" s="15"/>
      <c r="F366" s="15"/>
      <c r="G366" s="16" t="str">
        <f aca="false">IF(OR(E366="",F366=""),"",IF(E366=F366,"Yes","No"))</f>
        <v/>
      </c>
      <c r="H366" s="15"/>
      <c r="I366" s="15"/>
      <c r="J366" s="15"/>
      <c r="K366" s="15"/>
    </row>
    <row r="367" customFormat="false" ht="15" hidden="false" customHeight="false" outlineLevel="0" collapsed="false">
      <c r="A367" s="15"/>
      <c r="B367" s="15"/>
      <c r="C367" s="15"/>
      <c r="D367" s="15"/>
      <c r="E367" s="15"/>
      <c r="F367" s="15"/>
      <c r="G367" s="16" t="str">
        <f aca="false">IF(OR(E367="",F367=""),"",IF(E367=F367,"Yes","No"))</f>
        <v/>
      </c>
      <c r="H367" s="15"/>
      <c r="I367" s="15"/>
      <c r="J367" s="15"/>
      <c r="K367" s="15"/>
    </row>
    <row r="368" customFormat="false" ht="15" hidden="false" customHeight="false" outlineLevel="0" collapsed="false">
      <c r="A368" s="15"/>
      <c r="B368" s="15"/>
      <c r="C368" s="15"/>
      <c r="D368" s="15"/>
      <c r="E368" s="15"/>
      <c r="F368" s="15"/>
      <c r="G368" s="16" t="str">
        <f aca="false">IF(OR(E368="",F368=""),"",IF(E368=F368,"Yes","No"))</f>
        <v/>
      </c>
      <c r="H368" s="15"/>
      <c r="I368" s="15"/>
      <c r="J368" s="15"/>
      <c r="K368" s="15"/>
    </row>
    <row r="369" customFormat="false" ht="15" hidden="false" customHeight="false" outlineLevel="0" collapsed="false">
      <c r="A369" s="15"/>
      <c r="B369" s="15"/>
      <c r="C369" s="15"/>
      <c r="D369" s="15"/>
      <c r="E369" s="15"/>
      <c r="F369" s="15"/>
      <c r="G369" s="16" t="str">
        <f aca="false">IF(OR(E369="",F369=""),"",IF(E369=F369,"Yes","No"))</f>
        <v/>
      </c>
      <c r="H369" s="15"/>
      <c r="I369" s="15"/>
      <c r="J369" s="15"/>
      <c r="K369" s="15"/>
    </row>
    <row r="370" customFormat="false" ht="15" hidden="false" customHeight="false" outlineLevel="0" collapsed="false">
      <c r="A370" s="15"/>
      <c r="B370" s="15"/>
      <c r="C370" s="15"/>
      <c r="D370" s="15"/>
      <c r="E370" s="15"/>
      <c r="F370" s="15"/>
      <c r="G370" s="16" t="str">
        <f aca="false">IF(OR(E370="",F370=""),"",IF(E370=F370,"Yes","No"))</f>
        <v/>
      </c>
      <c r="H370" s="15"/>
      <c r="I370" s="15"/>
      <c r="J370" s="15"/>
      <c r="K370" s="15"/>
    </row>
    <row r="371" customFormat="false" ht="15" hidden="false" customHeight="false" outlineLevel="0" collapsed="false">
      <c r="A371" s="15"/>
      <c r="B371" s="15"/>
      <c r="C371" s="15"/>
      <c r="D371" s="15"/>
      <c r="E371" s="15"/>
      <c r="F371" s="15"/>
      <c r="G371" s="16" t="str">
        <f aca="false">IF(OR(E371="",F371=""),"",IF(E371=F371,"Yes","No"))</f>
        <v/>
      </c>
      <c r="H371" s="15"/>
      <c r="I371" s="15"/>
      <c r="J371" s="15"/>
      <c r="K371" s="15"/>
    </row>
    <row r="372" customFormat="false" ht="15" hidden="false" customHeight="false" outlineLevel="0" collapsed="false">
      <c r="A372" s="15"/>
      <c r="B372" s="15"/>
      <c r="C372" s="15"/>
      <c r="D372" s="15"/>
      <c r="E372" s="15"/>
      <c r="F372" s="15"/>
      <c r="G372" s="16" t="str">
        <f aca="false">IF(OR(E372="",F372=""),"",IF(E372=F372,"Yes","No"))</f>
        <v/>
      </c>
      <c r="H372" s="15"/>
      <c r="I372" s="15"/>
      <c r="J372" s="15"/>
      <c r="K372" s="15"/>
    </row>
    <row r="373" customFormat="false" ht="15" hidden="false" customHeight="false" outlineLevel="0" collapsed="false">
      <c r="A373" s="15"/>
      <c r="B373" s="15"/>
      <c r="C373" s="15"/>
      <c r="D373" s="15"/>
      <c r="E373" s="15"/>
      <c r="F373" s="15"/>
      <c r="G373" s="16" t="str">
        <f aca="false">IF(OR(E373="",F373=""),"",IF(E373=F373,"Yes","No"))</f>
        <v/>
      </c>
      <c r="H373" s="15"/>
      <c r="I373" s="15"/>
      <c r="J373" s="15"/>
      <c r="K373" s="15"/>
    </row>
    <row r="374" customFormat="false" ht="15" hidden="false" customHeight="false" outlineLevel="0" collapsed="false">
      <c r="A374" s="15"/>
      <c r="B374" s="15"/>
      <c r="C374" s="15"/>
      <c r="D374" s="15"/>
      <c r="E374" s="15"/>
      <c r="F374" s="15"/>
      <c r="G374" s="16" t="str">
        <f aca="false">IF(OR(E374="",F374=""),"",IF(E374=F374,"Yes","No"))</f>
        <v/>
      </c>
      <c r="H374" s="15"/>
      <c r="I374" s="15"/>
      <c r="J374" s="15"/>
      <c r="K374" s="15"/>
    </row>
    <row r="375" customFormat="false" ht="15" hidden="false" customHeight="false" outlineLevel="0" collapsed="false">
      <c r="A375" s="15"/>
      <c r="B375" s="15"/>
      <c r="C375" s="15"/>
      <c r="D375" s="15"/>
      <c r="E375" s="15"/>
      <c r="F375" s="15"/>
      <c r="G375" s="16" t="str">
        <f aca="false">IF(OR(E375="",F375=""),"",IF(E375=F375,"Yes","No"))</f>
        <v/>
      </c>
      <c r="H375" s="15"/>
      <c r="I375" s="15"/>
      <c r="J375" s="15"/>
      <c r="K375" s="15"/>
    </row>
    <row r="376" customFormat="false" ht="15" hidden="false" customHeight="false" outlineLevel="0" collapsed="false">
      <c r="A376" s="15"/>
      <c r="B376" s="15"/>
      <c r="C376" s="15"/>
      <c r="D376" s="15"/>
      <c r="E376" s="15"/>
      <c r="F376" s="15"/>
      <c r="G376" s="16" t="str">
        <f aca="false">IF(OR(E376="",F376=""),"",IF(E376=F376,"Yes","No"))</f>
        <v/>
      </c>
      <c r="H376" s="15"/>
      <c r="I376" s="15"/>
      <c r="J376" s="15"/>
      <c r="K376" s="15"/>
    </row>
    <row r="377" customFormat="false" ht="15" hidden="false" customHeight="false" outlineLevel="0" collapsed="false">
      <c r="A377" s="15"/>
      <c r="B377" s="15"/>
      <c r="C377" s="15"/>
      <c r="D377" s="15"/>
      <c r="E377" s="15"/>
      <c r="F377" s="15"/>
      <c r="G377" s="16" t="str">
        <f aca="false">IF(OR(E377="",F377=""),"",IF(E377=F377,"Yes","No"))</f>
        <v/>
      </c>
      <c r="H377" s="15"/>
      <c r="I377" s="15"/>
      <c r="J377" s="15"/>
      <c r="K377" s="15"/>
    </row>
    <row r="378" customFormat="false" ht="15" hidden="false" customHeight="false" outlineLevel="0" collapsed="false">
      <c r="A378" s="15"/>
      <c r="B378" s="15"/>
      <c r="C378" s="15"/>
      <c r="D378" s="15"/>
      <c r="E378" s="15"/>
      <c r="F378" s="15"/>
      <c r="G378" s="16" t="str">
        <f aca="false">IF(OR(E378="",F378=""),"",IF(E378=F378,"Yes","No"))</f>
        <v/>
      </c>
      <c r="H378" s="15"/>
      <c r="I378" s="15"/>
      <c r="J378" s="15"/>
      <c r="K378" s="15"/>
    </row>
    <row r="379" customFormat="false" ht="15" hidden="false" customHeight="false" outlineLevel="0" collapsed="false">
      <c r="A379" s="15"/>
      <c r="B379" s="15"/>
      <c r="C379" s="15"/>
      <c r="D379" s="15"/>
      <c r="E379" s="15"/>
      <c r="F379" s="15"/>
      <c r="G379" s="16" t="str">
        <f aca="false">IF(OR(E379="",F379=""),"",IF(E379=F379,"Yes","No"))</f>
        <v/>
      </c>
      <c r="H379" s="15"/>
      <c r="I379" s="15"/>
      <c r="J379" s="15"/>
      <c r="K379" s="15"/>
    </row>
    <row r="380" customFormat="false" ht="15" hidden="false" customHeight="false" outlineLevel="0" collapsed="false">
      <c r="A380" s="15"/>
      <c r="B380" s="15"/>
      <c r="C380" s="15"/>
      <c r="D380" s="15"/>
      <c r="E380" s="15"/>
      <c r="F380" s="15"/>
      <c r="G380" s="16" t="str">
        <f aca="false">IF(OR(E380="",F380=""),"",IF(E380=F380,"Yes","No"))</f>
        <v/>
      </c>
      <c r="H380" s="15"/>
      <c r="I380" s="15"/>
      <c r="J380" s="15"/>
      <c r="K380" s="15"/>
    </row>
    <row r="381" customFormat="false" ht="15" hidden="false" customHeight="false" outlineLevel="0" collapsed="false">
      <c r="A381" s="15"/>
      <c r="B381" s="15"/>
      <c r="C381" s="15"/>
      <c r="D381" s="15"/>
      <c r="E381" s="15"/>
      <c r="F381" s="15"/>
      <c r="G381" s="16" t="str">
        <f aca="false">IF(OR(E381="",F381=""),"",IF(E381=F381,"Yes","No"))</f>
        <v/>
      </c>
      <c r="H381" s="15"/>
      <c r="I381" s="15"/>
      <c r="J381" s="15"/>
      <c r="K381" s="15"/>
    </row>
    <row r="382" customFormat="false" ht="15" hidden="false" customHeight="false" outlineLevel="0" collapsed="false">
      <c r="A382" s="15"/>
      <c r="B382" s="15"/>
      <c r="C382" s="15"/>
      <c r="D382" s="15"/>
      <c r="E382" s="15"/>
      <c r="F382" s="15"/>
      <c r="G382" s="16" t="str">
        <f aca="false">IF(OR(E382="",F382=""),"",IF(E382=F382,"Yes","No"))</f>
        <v/>
      </c>
      <c r="H382" s="15"/>
      <c r="I382" s="15"/>
      <c r="J382" s="15"/>
      <c r="K382" s="15"/>
    </row>
    <row r="383" customFormat="false" ht="15" hidden="false" customHeight="false" outlineLevel="0" collapsed="false">
      <c r="A383" s="15"/>
      <c r="B383" s="15"/>
      <c r="C383" s="15"/>
      <c r="D383" s="15"/>
      <c r="E383" s="15"/>
      <c r="F383" s="15"/>
      <c r="G383" s="16" t="str">
        <f aca="false">IF(OR(E383="",F383=""),"",IF(E383=F383,"Yes","No"))</f>
        <v/>
      </c>
      <c r="H383" s="15"/>
      <c r="I383" s="15"/>
      <c r="J383" s="15"/>
      <c r="K383" s="15"/>
    </row>
    <row r="384" customFormat="false" ht="15" hidden="false" customHeight="false" outlineLevel="0" collapsed="false">
      <c r="A384" s="15"/>
      <c r="B384" s="15"/>
      <c r="C384" s="15"/>
      <c r="D384" s="15"/>
      <c r="E384" s="15"/>
      <c r="F384" s="15"/>
      <c r="G384" s="16" t="str">
        <f aca="false">IF(OR(E384="",F384=""),"",IF(E384=F384,"Yes","No"))</f>
        <v/>
      </c>
      <c r="H384" s="15"/>
      <c r="I384" s="15"/>
      <c r="J384" s="15"/>
      <c r="K384" s="15"/>
    </row>
    <row r="385" customFormat="false" ht="15" hidden="false" customHeight="false" outlineLevel="0" collapsed="false">
      <c r="A385" s="15"/>
      <c r="B385" s="15"/>
      <c r="C385" s="15"/>
      <c r="D385" s="15"/>
      <c r="E385" s="15"/>
      <c r="F385" s="15"/>
      <c r="G385" s="16" t="str">
        <f aca="false">IF(OR(E385="",F385=""),"",IF(E385=F385,"Yes","No"))</f>
        <v/>
      </c>
      <c r="H385" s="15"/>
      <c r="I385" s="15"/>
      <c r="J385" s="15"/>
      <c r="K385" s="15"/>
    </row>
    <row r="386" customFormat="false" ht="15" hidden="false" customHeight="false" outlineLevel="0" collapsed="false">
      <c r="A386" s="15"/>
      <c r="B386" s="15"/>
      <c r="C386" s="15"/>
      <c r="D386" s="15"/>
      <c r="E386" s="15"/>
      <c r="F386" s="15"/>
      <c r="G386" s="16" t="str">
        <f aca="false">IF(OR(E386="",F386=""),"",IF(E386=F386,"Yes","No"))</f>
        <v/>
      </c>
      <c r="H386" s="15"/>
      <c r="I386" s="15"/>
      <c r="J386" s="15"/>
      <c r="K386" s="15"/>
    </row>
    <row r="387" customFormat="false" ht="15" hidden="false" customHeight="false" outlineLevel="0" collapsed="false">
      <c r="A387" s="15"/>
      <c r="B387" s="15"/>
      <c r="C387" s="15"/>
      <c r="D387" s="15"/>
      <c r="E387" s="15"/>
      <c r="F387" s="15"/>
      <c r="G387" s="16" t="str">
        <f aca="false">IF(OR(E387="",F387=""),"",IF(E387=F387,"Yes","No"))</f>
        <v/>
      </c>
      <c r="H387" s="15"/>
      <c r="I387" s="15"/>
      <c r="J387" s="15"/>
      <c r="K387" s="15"/>
    </row>
    <row r="388" customFormat="false" ht="15" hidden="false" customHeight="false" outlineLevel="0" collapsed="false">
      <c r="A388" s="15"/>
      <c r="B388" s="15"/>
      <c r="C388" s="15"/>
      <c r="D388" s="15"/>
      <c r="E388" s="15"/>
      <c r="F388" s="15"/>
      <c r="G388" s="16" t="str">
        <f aca="false">IF(OR(E388="",F388=""),"",IF(E388=F388,"Yes","No"))</f>
        <v/>
      </c>
      <c r="H388" s="15"/>
      <c r="I388" s="15"/>
      <c r="J388" s="15"/>
      <c r="K388" s="15"/>
    </row>
    <row r="389" customFormat="false" ht="15" hidden="false" customHeight="false" outlineLevel="0" collapsed="false">
      <c r="A389" s="15"/>
      <c r="B389" s="15"/>
      <c r="C389" s="15"/>
      <c r="D389" s="15"/>
      <c r="E389" s="15"/>
      <c r="F389" s="15"/>
      <c r="G389" s="16" t="str">
        <f aca="false">IF(OR(E389="",F389=""),"",IF(E389=F389,"Yes","No"))</f>
        <v/>
      </c>
      <c r="H389" s="15"/>
      <c r="I389" s="15"/>
      <c r="J389" s="15"/>
      <c r="K389" s="15"/>
    </row>
    <row r="390" customFormat="false" ht="15" hidden="false" customHeight="false" outlineLevel="0" collapsed="false">
      <c r="A390" s="15"/>
      <c r="B390" s="15"/>
      <c r="C390" s="15"/>
      <c r="D390" s="15"/>
      <c r="E390" s="15"/>
      <c r="F390" s="15"/>
      <c r="G390" s="16" t="str">
        <f aca="false">IF(OR(E390="",F390=""),"",IF(E390=F390,"Yes","No"))</f>
        <v/>
      </c>
      <c r="H390" s="15"/>
      <c r="I390" s="15"/>
      <c r="J390" s="15"/>
      <c r="K390" s="15"/>
    </row>
    <row r="391" customFormat="false" ht="15" hidden="false" customHeight="false" outlineLevel="0" collapsed="false">
      <c r="A391" s="15"/>
      <c r="B391" s="15"/>
      <c r="C391" s="15"/>
      <c r="D391" s="15"/>
      <c r="E391" s="15"/>
      <c r="F391" s="15"/>
      <c r="G391" s="16" t="str">
        <f aca="false">IF(OR(E391="",F391=""),"",IF(E391=F391,"Yes","No"))</f>
        <v/>
      </c>
      <c r="H391" s="15"/>
      <c r="I391" s="15"/>
      <c r="J391" s="15"/>
      <c r="K391" s="15"/>
    </row>
    <row r="392" customFormat="false" ht="15" hidden="false" customHeight="false" outlineLevel="0" collapsed="false">
      <c r="A392" s="15"/>
      <c r="B392" s="15"/>
      <c r="C392" s="15"/>
      <c r="D392" s="15"/>
      <c r="E392" s="15"/>
      <c r="F392" s="15"/>
      <c r="G392" s="16" t="str">
        <f aca="false">IF(OR(E392="",F392=""),"",IF(E392=F392,"Yes","No"))</f>
        <v/>
      </c>
      <c r="H392" s="15"/>
      <c r="I392" s="15"/>
      <c r="J392" s="15"/>
      <c r="K392" s="15"/>
    </row>
    <row r="393" customFormat="false" ht="15" hidden="false" customHeight="false" outlineLevel="0" collapsed="false">
      <c r="A393" s="15"/>
      <c r="B393" s="15"/>
      <c r="C393" s="15"/>
      <c r="D393" s="15"/>
      <c r="E393" s="15"/>
      <c r="F393" s="15"/>
      <c r="G393" s="16" t="str">
        <f aca="false">IF(OR(E393="",F393=""),"",IF(E393=F393,"Yes","No"))</f>
        <v/>
      </c>
      <c r="H393" s="15"/>
      <c r="I393" s="15"/>
      <c r="J393" s="15"/>
      <c r="K393" s="15"/>
    </row>
    <row r="394" customFormat="false" ht="15" hidden="false" customHeight="false" outlineLevel="0" collapsed="false">
      <c r="A394" s="15"/>
      <c r="B394" s="15"/>
      <c r="C394" s="15"/>
      <c r="D394" s="15"/>
      <c r="E394" s="15"/>
      <c r="F394" s="15"/>
      <c r="G394" s="16" t="str">
        <f aca="false">IF(OR(E394="",F394=""),"",IF(E394=F394,"Yes","No"))</f>
        <v/>
      </c>
      <c r="H394" s="15"/>
      <c r="I394" s="15"/>
      <c r="J394" s="15"/>
      <c r="K394" s="15"/>
    </row>
    <row r="395" customFormat="false" ht="15" hidden="false" customHeight="false" outlineLevel="0" collapsed="false">
      <c r="A395" s="15"/>
      <c r="B395" s="15"/>
      <c r="C395" s="15"/>
      <c r="D395" s="15"/>
      <c r="E395" s="15"/>
      <c r="F395" s="15"/>
      <c r="G395" s="16" t="str">
        <f aca="false">IF(OR(E395="",F395=""),"",IF(E395=F395,"Yes","No"))</f>
        <v/>
      </c>
      <c r="H395" s="15"/>
      <c r="I395" s="15"/>
      <c r="J395" s="15"/>
      <c r="K395" s="15"/>
    </row>
    <row r="396" customFormat="false" ht="15" hidden="false" customHeight="false" outlineLevel="0" collapsed="false">
      <c r="A396" s="15"/>
      <c r="B396" s="15"/>
      <c r="C396" s="15"/>
      <c r="D396" s="15"/>
      <c r="E396" s="15"/>
      <c r="F396" s="15"/>
      <c r="G396" s="16" t="str">
        <f aca="false">IF(OR(E396="",F396=""),"",IF(E396=F396,"Yes","No"))</f>
        <v/>
      </c>
      <c r="H396" s="15"/>
      <c r="I396" s="15"/>
      <c r="J396" s="15"/>
      <c r="K396" s="15"/>
    </row>
    <row r="397" customFormat="false" ht="15" hidden="false" customHeight="false" outlineLevel="0" collapsed="false">
      <c r="A397" s="15"/>
      <c r="B397" s="15"/>
      <c r="C397" s="15"/>
      <c r="D397" s="15"/>
      <c r="E397" s="15"/>
      <c r="F397" s="15"/>
      <c r="G397" s="16" t="str">
        <f aca="false">IF(OR(E397="",F397=""),"",IF(E397=F397,"Yes","No"))</f>
        <v/>
      </c>
      <c r="H397" s="15"/>
      <c r="I397" s="15"/>
      <c r="J397" s="15"/>
      <c r="K397" s="15"/>
    </row>
    <row r="398" customFormat="false" ht="15" hidden="false" customHeight="false" outlineLevel="0" collapsed="false">
      <c r="A398" s="15"/>
      <c r="B398" s="15"/>
      <c r="C398" s="15"/>
      <c r="D398" s="15"/>
      <c r="E398" s="15"/>
      <c r="F398" s="15"/>
      <c r="G398" s="16" t="str">
        <f aca="false">IF(OR(E398="",F398=""),"",IF(E398=F398,"Yes","No"))</f>
        <v/>
      </c>
      <c r="H398" s="15"/>
      <c r="I398" s="15"/>
      <c r="J398" s="15"/>
      <c r="K398" s="15"/>
    </row>
    <row r="399" customFormat="false" ht="15" hidden="false" customHeight="false" outlineLevel="0" collapsed="false">
      <c r="A399" s="15"/>
      <c r="B399" s="15"/>
      <c r="C399" s="15"/>
      <c r="D399" s="15"/>
      <c r="E399" s="15"/>
      <c r="F399" s="15"/>
      <c r="G399" s="16" t="str">
        <f aca="false">IF(OR(E399="",F399=""),"",IF(E399=F399,"Yes","No"))</f>
        <v/>
      </c>
      <c r="H399" s="15"/>
      <c r="I399" s="15"/>
      <c r="J399" s="15"/>
      <c r="K399" s="15"/>
    </row>
    <row r="400" customFormat="false" ht="15" hidden="false" customHeight="false" outlineLevel="0" collapsed="false">
      <c r="A400" s="15"/>
      <c r="B400" s="15"/>
      <c r="C400" s="15"/>
      <c r="D400" s="15"/>
      <c r="E400" s="15"/>
      <c r="F400" s="15"/>
      <c r="G400" s="16" t="str">
        <f aca="false">IF(OR(E400="",F400=""),"",IF(E400=F400,"Yes","No"))</f>
        <v/>
      </c>
      <c r="H400" s="15"/>
      <c r="I400" s="15"/>
      <c r="J400" s="15"/>
      <c r="K400" s="15"/>
    </row>
    <row r="401" customFormat="false" ht="15" hidden="false" customHeight="false" outlineLevel="0" collapsed="false">
      <c r="A401" s="15"/>
      <c r="B401" s="15"/>
      <c r="C401" s="15"/>
      <c r="D401" s="15"/>
      <c r="E401" s="15"/>
      <c r="F401" s="15"/>
      <c r="G401" s="16" t="str">
        <f aca="false">IF(OR(E401="",F401=""),"",IF(E401=F401,"Yes","No"))</f>
        <v/>
      </c>
      <c r="H401" s="15"/>
      <c r="I401" s="15"/>
      <c r="J401" s="15"/>
      <c r="K401" s="15"/>
    </row>
    <row r="402" customFormat="false" ht="15" hidden="false" customHeight="false" outlineLevel="0" collapsed="false">
      <c r="A402" s="15"/>
      <c r="B402" s="15"/>
      <c r="C402" s="15"/>
      <c r="D402" s="15"/>
      <c r="E402" s="15"/>
      <c r="F402" s="15"/>
      <c r="G402" s="16" t="str">
        <f aca="false">IF(OR(E402="",F402=""),"",IF(E402=F402,"Yes","No"))</f>
        <v/>
      </c>
      <c r="H402" s="15"/>
      <c r="I402" s="15"/>
      <c r="J402" s="15"/>
      <c r="K402" s="15"/>
    </row>
    <row r="403" customFormat="false" ht="15" hidden="false" customHeight="false" outlineLevel="0" collapsed="false">
      <c r="A403" s="15"/>
      <c r="B403" s="15"/>
      <c r="C403" s="15"/>
      <c r="D403" s="15"/>
      <c r="E403" s="15"/>
      <c r="F403" s="15"/>
      <c r="G403" s="16" t="str">
        <f aca="false">IF(OR(E403="",F403=""),"",IF(E403=F403,"Yes","No"))</f>
        <v/>
      </c>
      <c r="H403" s="15"/>
      <c r="I403" s="15"/>
      <c r="J403" s="15"/>
      <c r="K403" s="15"/>
    </row>
    <row r="404" customFormat="false" ht="15" hidden="false" customHeight="false" outlineLevel="0" collapsed="false">
      <c r="A404" s="15"/>
      <c r="B404" s="15"/>
      <c r="C404" s="15"/>
      <c r="D404" s="15"/>
      <c r="E404" s="15"/>
      <c r="F404" s="15"/>
      <c r="G404" s="16" t="str">
        <f aca="false">IF(OR(E404="",F404=""),"",IF(E404=F404,"Yes","No"))</f>
        <v/>
      </c>
      <c r="H404" s="15"/>
      <c r="I404" s="15"/>
      <c r="J404" s="15"/>
      <c r="K404" s="15"/>
    </row>
    <row r="405" customFormat="false" ht="15" hidden="false" customHeight="false" outlineLevel="0" collapsed="false">
      <c r="A405" s="15"/>
      <c r="B405" s="15"/>
      <c r="C405" s="15"/>
      <c r="D405" s="15"/>
      <c r="E405" s="15"/>
      <c r="F405" s="15"/>
      <c r="G405" s="16" t="str">
        <f aca="false">IF(OR(E405="",F405=""),"",IF(E405=F405,"Yes","No"))</f>
        <v/>
      </c>
      <c r="H405" s="15"/>
      <c r="I405" s="15"/>
      <c r="J405" s="15"/>
      <c r="K405" s="15"/>
    </row>
    <row r="406" customFormat="false" ht="15" hidden="false" customHeight="false" outlineLevel="0" collapsed="false">
      <c r="A406" s="15"/>
      <c r="B406" s="15"/>
      <c r="C406" s="15"/>
      <c r="D406" s="15"/>
      <c r="E406" s="15"/>
      <c r="F406" s="15"/>
      <c r="G406" s="16" t="str">
        <f aca="false">IF(OR(E406="",F406=""),"",IF(E406=F406,"Yes","No"))</f>
        <v/>
      </c>
      <c r="H406" s="15"/>
      <c r="I406" s="15"/>
      <c r="J406" s="15"/>
      <c r="K406" s="15"/>
    </row>
    <row r="407" customFormat="false" ht="15" hidden="false" customHeight="false" outlineLevel="0" collapsed="false">
      <c r="A407" s="15"/>
      <c r="B407" s="15"/>
      <c r="C407" s="15"/>
      <c r="D407" s="15"/>
      <c r="E407" s="15"/>
      <c r="F407" s="15"/>
      <c r="G407" s="16" t="str">
        <f aca="false">IF(OR(E407="",F407=""),"",IF(E407=F407,"Yes","No"))</f>
        <v/>
      </c>
      <c r="H407" s="15"/>
      <c r="I407" s="15"/>
      <c r="J407" s="15"/>
      <c r="K407" s="15"/>
    </row>
    <row r="408" customFormat="false" ht="15" hidden="false" customHeight="false" outlineLevel="0" collapsed="false">
      <c r="A408" s="15"/>
      <c r="B408" s="15"/>
      <c r="C408" s="15"/>
      <c r="D408" s="15"/>
      <c r="E408" s="15"/>
      <c r="F408" s="15"/>
      <c r="G408" s="16" t="str">
        <f aca="false">IF(OR(E408="",F408=""),"",IF(E408=F408,"Yes","No"))</f>
        <v/>
      </c>
      <c r="H408" s="15"/>
      <c r="I408" s="15"/>
      <c r="J408" s="15"/>
      <c r="K408" s="15"/>
    </row>
    <row r="409" customFormat="false" ht="15" hidden="false" customHeight="false" outlineLevel="0" collapsed="false">
      <c r="A409" s="15"/>
      <c r="B409" s="15"/>
      <c r="C409" s="15"/>
      <c r="D409" s="15"/>
      <c r="E409" s="15"/>
      <c r="F409" s="15"/>
      <c r="G409" s="16" t="str">
        <f aca="false">IF(OR(E409="",F409=""),"",IF(E409=F409,"Yes","No"))</f>
        <v/>
      </c>
      <c r="H409" s="15"/>
      <c r="I409" s="15"/>
      <c r="J409" s="15"/>
      <c r="K409" s="15"/>
    </row>
    <row r="410" customFormat="false" ht="15" hidden="false" customHeight="false" outlineLevel="0" collapsed="false">
      <c r="A410" s="15"/>
      <c r="B410" s="15"/>
      <c r="C410" s="15"/>
      <c r="D410" s="15"/>
      <c r="E410" s="15"/>
      <c r="F410" s="15"/>
      <c r="G410" s="16" t="str">
        <f aca="false">IF(OR(E410="",F410=""),"",IF(E410=F410,"Yes","No"))</f>
        <v/>
      </c>
      <c r="H410" s="15"/>
      <c r="I410" s="15"/>
      <c r="J410" s="15"/>
      <c r="K410" s="15"/>
    </row>
    <row r="411" customFormat="false" ht="15" hidden="false" customHeight="false" outlineLevel="0" collapsed="false">
      <c r="A411" s="15"/>
      <c r="B411" s="15"/>
      <c r="C411" s="15"/>
      <c r="D411" s="15"/>
      <c r="E411" s="15"/>
      <c r="F411" s="15"/>
      <c r="G411" s="16" t="str">
        <f aca="false">IF(OR(E411="",F411=""),"",IF(E411=F411,"Yes","No"))</f>
        <v/>
      </c>
      <c r="H411" s="15"/>
      <c r="I411" s="15"/>
      <c r="J411" s="15"/>
      <c r="K411" s="15"/>
    </row>
    <row r="412" customFormat="false" ht="15" hidden="false" customHeight="false" outlineLevel="0" collapsed="false">
      <c r="A412" s="15"/>
      <c r="B412" s="15"/>
      <c r="C412" s="15"/>
      <c r="D412" s="15"/>
      <c r="E412" s="15"/>
      <c r="F412" s="15"/>
      <c r="G412" s="16" t="str">
        <f aca="false">IF(OR(E412="",F412=""),"",IF(E412=F412,"Yes","No"))</f>
        <v/>
      </c>
      <c r="H412" s="15"/>
      <c r="I412" s="15"/>
      <c r="J412" s="15"/>
      <c r="K412" s="15"/>
    </row>
    <row r="413" customFormat="false" ht="15" hidden="false" customHeight="false" outlineLevel="0" collapsed="false">
      <c r="A413" s="15"/>
      <c r="B413" s="15"/>
      <c r="C413" s="15"/>
      <c r="D413" s="15"/>
      <c r="E413" s="15"/>
      <c r="F413" s="15"/>
      <c r="G413" s="16" t="str">
        <f aca="false">IF(OR(E413="",F413=""),"",IF(E413=F413,"Yes","No"))</f>
        <v/>
      </c>
      <c r="H413" s="15"/>
      <c r="I413" s="15"/>
      <c r="J413" s="15"/>
      <c r="K413" s="15"/>
    </row>
    <row r="414" customFormat="false" ht="15" hidden="false" customHeight="false" outlineLevel="0" collapsed="false">
      <c r="A414" s="15"/>
      <c r="B414" s="15"/>
      <c r="C414" s="15"/>
      <c r="D414" s="15"/>
      <c r="E414" s="15"/>
      <c r="F414" s="15"/>
      <c r="G414" s="16" t="str">
        <f aca="false">IF(OR(E414="",F414=""),"",IF(E414=F414,"Yes","No"))</f>
        <v/>
      </c>
      <c r="H414" s="15"/>
      <c r="I414" s="15"/>
      <c r="J414" s="15"/>
      <c r="K414" s="15"/>
    </row>
    <row r="415" customFormat="false" ht="15" hidden="false" customHeight="false" outlineLevel="0" collapsed="false">
      <c r="A415" s="15"/>
      <c r="B415" s="15"/>
      <c r="C415" s="15"/>
      <c r="D415" s="15"/>
      <c r="E415" s="15"/>
      <c r="F415" s="15"/>
      <c r="G415" s="16" t="str">
        <f aca="false">IF(OR(E415="",F415=""),"",IF(E415=F415,"Yes","No"))</f>
        <v/>
      </c>
      <c r="H415" s="15"/>
      <c r="I415" s="15"/>
      <c r="J415" s="15"/>
      <c r="K415" s="15"/>
    </row>
    <row r="416" customFormat="false" ht="15" hidden="false" customHeight="false" outlineLevel="0" collapsed="false">
      <c r="A416" s="15"/>
      <c r="B416" s="15"/>
      <c r="C416" s="15"/>
      <c r="D416" s="15"/>
      <c r="E416" s="15"/>
      <c r="F416" s="15"/>
      <c r="G416" s="16" t="str">
        <f aca="false">IF(OR(E416="",F416=""),"",IF(E416=F416,"Yes","No"))</f>
        <v/>
      </c>
      <c r="H416" s="15"/>
      <c r="I416" s="15"/>
      <c r="J416" s="15"/>
      <c r="K416" s="15"/>
    </row>
    <row r="417" customFormat="false" ht="15" hidden="false" customHeight="false" outlineLevel="0" collapsed="false">
      <c r="A417" s="15"/>
      <c r="B417" s="15"/>
      <c r="C417" s="15"/>
      <c r="D417" s="15"/>
      <c r="E417" s="15"/>
      <c r="F417" s="15"/>
      <c r="G417" s="16" t="str">
        <f aca="false">IF(OR(E417="",F417=""),"",IF(E417=F417,"Yes","No"))</f>
        <v/>
      </c>
      <c r="H417" s="15"/>
      <c r="I417" s="15"/>
      <c r="J417" s="15"/>
      <c r="K417" s="15"/>
    </row>
    <row r="418" customFormat="false" ht="15" hidden="false" customHeight="false" outlineLevel="0" collapsed="false">
      <c r="A418" s="15"/>
      <c r="B418" s="15"/>
      <c r="C418" s="15"/>
      <c r="D418" s="15"/>
      <c r="E418" s="15"/>
      <c r="F418" s="15"/>
      <c r="G418" s="16" t="str">
        <f aca="false">IF(OR(E418="",F418=""),"",IF(E418=F418,"Yes","No"))</f>
        <v/>
      </c>
      <c r="H418" s="15"/>
      <c r="I418" s="15"/>
      <c r="J418" s="15"/>
      <c r="K418" s="15"/>
    </row>
    <row r="419" customFormat="false" ht="15" hidden="false" customHeight="false" outlineLevel="0" collapsed="false">
      <c r="A419" s="15"/>
      <c r="B419" s="15"/>
      <c r="C419" s="15"/>
      <c r="D419" s="15"/>
      <c r="E419" s="15"/>
      <c r="F419" s="15"/>
      <c r="G419" s="16" t="str">
        <f aca="false">IF(OR(E419="",F419=""),"",IF(E419=F419,"Yes","No"))</f>
        <v/>
      </c>
      <c r="H419" s="15"/>
      <c r="I419" s="15"/>
      <c r="J419" s="15"/>
      <c r="K419" s="15"/>
    </row>
    <row r="420" customFormat="false" ht="15" hidden="false" customHeight="false" outlineLevel="0" collapsed="false">
      <c r="A420" s="15"/>
      <c r="B420" s="15"/>
      <c r="C420" s="15"/>
      <c r="D420" s="15"/>
      <c r="E420" s="15"/>
      <c r="F420" s="15"/>
      <c r="G420" s="16" t="str">
        <f aca="false">IF(OR(E420="",F420=""),"",IF(E420=F420,"Yes","No"))</f>
        <v/>
      </c>
      <c r="H420" s="15"/>
      <c r="I420" s="15"/>
      <c r="J420" s="15"/>
      <c r="K420" s="15"/>
    </row>
    <row r="421" customFormat="false" ht="15" hidden="false" customHeight="false" outlineLevel="0" collapsed="false">
      <c r="A421" s="15"/>
      <c r="B421" s="15"/>
      <c r="C421" s="15"/>
      <c r="D421" s="15"/>
      <c r="E421" s="15"/>
      <c r="F421" s="15"/>
      <c r="G421" s="16" t="str">
        <f aca="false">IF(OR(E421="",F421=""),"",IF(E421=F421,"Yes","No"))</f>
        <v/>
      </c>
      <c r="H421" s="15"/>
      <c r="I421" s="15"/>
      <c r="J421" s="15"/>
      <c r="K421" s="15"/>
    </row>
    <row r="422" customFormat="false" ht="15" hidden="false" customHeight="false" outlineLevel="0" collapsed="false">
      <c r="A422" s="15"/>
      <c r="B422" s="15"/>
      <c r="C422" s="15"/>
      <c r="D422" s="15"/>
      <c r="E422" s="15"/>
      <c r="F422" s="15"/>
      <c r="G422" s="16" t="str">
        <f aca="false">IF(OR(E422="",F422=""),"",IF(E422=F422,"Yes","No"))</f>
        <v/>
      </c>
      <c r="H422" s="15"/>
      <c r="I422" s="15"/>
      <c r="J422" s="15"/>
      <c r="K422" s="15"/>
    </row>
    <row r="423" customFormat="false" ht="15" hidden="false" customHeight="false" outlineLevel="0" collapsed="false">
      <c r="A423" s="15"/>
      <c r="B423" s="15"/>
      <c r="C423" s="15"/>
      <c r="D423" s="15"/>
      <c r="E423" s="15"/>
      <c r="F423" s="15"/>
      <c r="G423" s="16" t="str">
        <f aca="false">IF(OR(E423="",F423=""),"",IF(E423=F423,"Yes","No"))</f>
        <v/>
      </c>
      <c r="H423" s="15"/>
      <c r="I423" s="15"/>
      <c r="J423" s="15"/>
      <c r="K423" s="15"/>
    </row>
    <row r="424" customFormat="false" ht="15" hidden="false" customHeight="false" outlineLevel="0" collapsed="false">
      <c r="A424" s="15"/>
      <c r="B424" s="15"/>
      <c r="C424" s="15"/>
      <c r="D424" s="15"/>
      <c r="E424" s="15"/>
      <c r="F424" s="15"/>
      <c r="G424" s="16" t="str">
        <f aca="false">IF(OR(E424="",F424=""),"",IF(E424=F424,"Yes","No"))</f>
        <v/>
      </c>
      <c r="H424" s="15"/>
      <c r="I424" s="15"/>
      <c r="J424" s="15"/>
      <c r="K424" s="15"/>
    </row>
    <row r="425" customFormat="false" ht="15" hidden="false" customHeight="false" outlineLevel="0" collapsed="false">
      <c r="A425" s="15"/>
      <c r="B425" s="15"/>
      <c r="C425" s="15"/>
      <c r="D425" s="15"/>
      <c r="E425" s="15"/>
      <c r="F425" s="15"/>
      <c r="G425" s="16" t="str">
        <f aca="false">IF(OR(E425="",F425=""),"",IF(E425=F425,"Yes","No"))</f>
        <v/>
      </c>
      <c r="H425" s="15"/>
      <c r="I425" s="15"/>
      <c r="J425" s="15"/>
      <c r="K425" s="15"/>
    </row>
    <row r="426" customFormat="false" ht="15" hidden="false" customHeight="false" outlineLevel="0" collapsed="false">
      <c r="A426" s="15"/>
      <c r="B426" s="15"/>
      <c r="C426" s="15"/>
      <c r="D426" s="15"/>
      <c r="E426" s="15"/>
      <c r="F426" s="15"/>
      <c r="G426" s="16" t="str">
        <f aca="false">IF(OR(E426="",F426=""),"",IF(E426=F426,"Yes","No"))</f>
        <v/>
      </c>
      <c r="H426" s="15"/>
      <c r="I426" s="15"/>
      <c r="J426" s="15"/>
      <c r="K426" s="15"/>
    </row>
    <row r="427" customFormat="false" ht="15" hidden="false" customHeight="false" outlineLevel="0" collapsed="false">
      <c r="A427" s="15"/>
      <c r="B427" s="15"/>
      <c r="C427" s="15"/>
      <c r="D427" s="15"/>
      <c r="E427" s="15"/>
      <c r="F427" s="15"/>
      <c r="G427" s="16" t="str">
        <f aca="false">IF(OR(E427="",F427=""),"",IF(E427=F427,"Yes","No"))</f>
        <v/>
      </c>
      <c r="H427" s="15"/>
      <c r="I427" s="15"/>
      <c r="J427" s="15"/>
      <c r="K427" s="15"/>
    </row>
    <row r="428" customFormat="false" ht="15" hidden="false" customHeight="false" outlineLevel="0" collapsed="false">
      <c r="A428" s="15"/>
      <c r="B428" s="15"/>
      <c r="C428" s="15"/>
      <c r="D428" s="15"/>
      <c r="E428" s="15"/>
      <c r="F428" s="15"/>
      <c r="G428" s="16" t="str">
        <f aca="false">IF(OR(E428="",F428=""),"",IF(E428=F428,"Yes","No"))</f>
        <v/>
      </c>
      <c r="H428" s="15"/>
      <c r="I428" s="15"/>
      <c r="J428" s="15"/>
      <c r="K428" s="15"/>
    </row>
    <row r="429" customFormat="false" ht="15" hidden="false" customHeight="false" outlineLevel="0" collapsed="false">
      <c r="A429" s="15"/>
      <c r="B429" s="15"/>
      <c r="C429" s="15"/>
      <c r="D429" s="15"/>
      <c r="E429" s="15"/>
      <c r="F429" s="15"/>
      <c r="G429" s="16" t="str">
        <f aca="false">IF(OR(E429="",F429=""),"",IF(E429=F429,"Yes","No"))</f>
        <v/>
      </c>
      <c r="H429" s="15"/>
      <c r="I429" s="15"/>
      <c r="J429" s="15"/>
      <c r="K429" s="15"/>
    </row>
    <row r="430" customFormat="false" ht="15" hidden="false" customHeight="false" outlineLevel="0" collapsed="false">
      <c r="A430" s="15"/>
      <c r="B430" s="15"/>
      <c r="C430" s="15"/>
      <c r="D430" s="15"/>
      <c r="E430" s="15"/>
      <c r="F430" s="15"/>
      <c r="G430" s="16" t="str">
        <f aca="false">IF(OR(E430="",F430=""),"",IF(E430=F430,"Yes","No"))</f>
        <v/>
      </c>
      <c r="H430" s="15"/>
      <c r="I430" s="15"/>
      <c r="J430" s="15"/>
      <c r="K430" s="15"/>
    </row>
    <row r="431" customFormat="false" ht="15" hidden="false" customHeight="false" outlineLevel="0" collapsed="false">
      <c r="A431" s="15"/>
      <c r="B431" s="15"/>
      <c r="C431" s="15"/>
      <c r="D431" s="15"/>
      <c r="E431" s="15"/>
      <c r="F431" s="15"/>
      <c r="G431" s="16" t="str">
        <f aca="false">IF(OR(E431="",F431=""),"",IF(E431=F431,"Yes","No"))</f>
        <v/>
      </c>
      <c r="H431" s="15"/>
      <c r="I431" s="15"/>
      <c r="J431" s="15"/>
      <c r="K431" s="15"/>
    </row>
    <row r="432" customFormat="false" ht="15" hidden="false" customHeight="false" outlineLevel="0" collapsed="false">
      <c r="A432" s="15"/>
      <c r="B432" s="15"/>
      <c r="C432" s="15"/>
      <c r="D432" s="15"/>
      <c r="E432" s="15"/>
      <c r="F432" s="15"/>
      <c r="G432" s="16" t="str">
        <f aca="false">IF(OR(E432="",F432=""),"",IF(E432=F432,"Yes","No"))</f>
        <v/>
      </c>
      <c r="H432" s="15"/>
      <c r="I432" s="15"/>
      <c r="J432" s="15"/>
      <c r="K432" s="15"/>
    </row>
    <row r="433" customFormat="false" ht="15" hidden="false" customHeight="false" outlineLevel="0" collapsed="false">
      <c r="A433" s="15"/>
      <c r="B433" s="15"/>
      <c r="C433" s="15"/>
      <c r="D433" s="15"/>
      <c r="E433" s="15"/>
      <c r="F433" s="15"/>
      <c r="G433" s="16" t="str">
        <f aca="false">IF(OR(E433="",F433=""),"",IF(E433=F433,"Yes","No"))</f>
        <v/>
      </c>
      <c r="H433" s="15"/>
      <c r="I433" s="15"/>
      <c r="J433" s="15"/>
      <c r="K433" s="15"/>
    </row>
    <row r="434" customFormat="false" ht="15" hidden="false" customHeight="false" outlineLevel="0" collapsed="false">
      <c r="A434" s="15"/>
      <c r="B434" s="15"/>
      <c r="C434" s="15"/>
      <c r="D434" s="15"/>
      <c r="E434" s="15"/>
      <c r="F434" s="15"/>
      <c r="G434" s="16" t="str">
        <f aca="false">IF(OR(E434="",F434=""),"",IF(E434=F434,"Yes","No"))</f>
        <v/>
      </c>
      <c r="H434" s="15"/>
      <c r="I434" s="15"/>
      <c r="J434" s="15"/>
      <c r="K434" s="15"/>
    </row>
    <row r="435" customFormat="false" ht="15" hidden="false" customHeight="false" outlineLevel="0" collapsed="false">
      <c r="A435" s="15"/>
      <c r="B435" s="15"/>
      <c r="C435" s="15"/>
      <c r="D435" s="15"/>
      <c r="E435" s="15"/>
      <c r="F435" s="15"/>
      <c r="G435" s="16" t="str">
        <f aca="false">IF(OR(E435="",F435=""),"",IF(E435=F435,"Yes","No"))</f>
        <v/>
      </c>
      <c r="H435" s="15"/>
      <c r="I435" s="15"/>
      <c r="J435" s="15"/>
      <c r="K435" s="15"/>
    </row>
    <row r="436" customFormat="false" ht="15" hidden="false" customHeight="false" outlineLevel="0" collapsed="false">
      <c r="A436" s="15"/>
      <c r="B436" s="15"/>
      <c r="C436" s="15"/>
      <c r="D436" s="15"/>
      <c r="E436" s="15"/>
      <c r="F436" s="15"/>
      <c r="G436" s="16" t="str">
        <f aca="false">IF(OR(E436="",F436=""),"",IF(E436=F436,"Yes","No"))</f>
        <v/>
      </c>
      <c r="H436" s="15"/>
      <c r="I436" s="15"/>
      <c r="J436" s="15"/>
      <c r="K436" s="15"/>
    </row>
    <row r="437" customFormat="false" ht="15" hidden="false" customHeight="false" outlineLevel="0" collapsed="false">
      <c r="A437" s="15"/>
      <c r="B437" s="15"/>
      <c r="C437" s="15"/>
      <c r="D437" s="15"/>
      <c r="E437" s="15"/>
      <c r="F437" s="15"/>
      <c r="G437" s="16" t="str">
        <f aca="false">IF(OR(E437="",F437=""),"",IF(E437=F437,"Yes","No"))</f>
        <v/>
      </c>
      <c r="H437" s="15"/>
      <c r="I437" s="15"/>
      <c r="J437" s="15"/>
      <c r="K437" s="15"/>
    </row>
    <row r="438" customFormat="false" ht="15" hidden="false" customHeight="false" outlineLevel="0" collapsed="false">
      <c r="A438" s="15"/>
      <c r="B438" s="15"/>
      <c r="C438" s="15"/>
      <c r="D438" s="15"/>
      <c r="E438" s="15"/>
      <c r="F438" s="15"/>
      <c r="G438" s="16" t="str">
        <f aca="false">IF(OR(E438="",F438=""),"",IF(E438=F438,"Yes","No"))</f>
        <v/>
      </c>
      <c r="H438" s="15"/>
      <c r="I438" s="15"/>
      <c r="J438" s="15"/>
      <c r="K438" s="15"/>
    </row>
    <row r="439" customFormat="false" ht="15" hidden="false" customHeight="false" outlineLevel="0" collapsed="false">
      <c r="A439" s="15"/>
      <c r="B439" s="15"/>
      <c r="C439" s="15"/>
      <c r="D439" s="15"/>
      <c r="E439" s="15"/>
      <c r="F439" s="15"/>
      <c r="G439" s="16" t="str">
        <f aca="false">IF(OR(E439="",F439=""),"",IF(E439=F439,"Yes","No"))</f>
        <v/>
      </c>
      <c r="H439" s="15"/>
      <c r="I439" s="15"/>
      <c r="J439" s="15"/>
      <c r="K439" s="15"/>
    </row>
    <row r="440" customFormat="false" ht="15" hidden="false" customHeight="false" outlineLevel="0" collapsed="false">
      <c r="A440" s="15"/>
      <c r="B440" s="15"/>
      <c r="C440" s="15"/>
      <c r="D440" s="15"/>
      <c r="E440" s="15"/>
      <c r="F440" s="15"/>
      <c r="G440" s="16" t="str">
        <f aca="false">IF(OR(E440="",F440=""),"",IF(E440=F440,"Yes","No"))</f>
        <v/>
      </c>
      <c r="H440" s="15"/>
      <c r="I440" s="15"/>
      <c r="J440" s="15"/>
      <c r="K440" s="15"/>
    </row>
    <row r="441" customFormat="false" ht="15" hidden="false" customHeight="false" outlineLevel="0" collapsed="false">
      <c r="A441" s="15"/>
      <c r="B441" s="15"/>
      <c r="C441" s="15"/>
      <c r="D441" s="15"/>
      <c r="E441" s="15"/>
      <c r="F441" s="15"/>
      <c r="G441" s="16" t="str">
        <f aca="false">IF(OR(E441="",F441=""),"",IF(E441=F441,"Yes","No"))</f>
        <v/>
      </c>
      <c r="H441" s="15"/>
      <c r="I441" s="15"/>
      <c r="J441" s="15"/>
      <c r="K441" s="15"/>
    </row>
    <row r="442" customFormat="false" ht="15" hidden="false" customHeight="false" outlineLevel="0" collapsed="false">
      <c r="A442" s="15"/>
      <c r="B442" s="15"/>
      <c r="C442" s="15"/>
      <c r="D442" s="15"/>
      <c r="E442" s="15"/>
      <c r="F442" s="15"/>
      <c r="G442" s="16" t="str">
        <f aca="false">IF(OR(E442="",F442=""),"",IF(E442=F442,"Yes","No"))</f>
        <v/>
      </c>
      <c r="H442" s="15"/>
      <c r="I442" s="15"/>
      <c r="J442" s="15"/>
      <c r="K442" s="15"/>
    </row>
    <row r="443" customFormat="false" ht="15" hidden="false" customHeight="false" outlineLevel="0" collapsed="false">
      <c r="A443" s="15"/>
      <c r="B443" s="15"/>
      <c r="C443" s="15"/>
      <c r="D443" s="15"/>
      <c r="E443" s="15"/>
      <c r="F443" s="15"/>
      <c r="G443" s="16" t="str">
        <f aca="false">IF(OR(E443="",F443=""),"",IF(E443=F443,"Yes","No"))</f>
        <v/>
      </c>
      <c r="H443" s="15"/>
      <c r="I443" s="15"/>
      <c r="J443" s="15"/>
      <c r="K443" s="15"/>
    </row>
    <row r="444" customFormat="false" ht="15" hidden="false" customHeight="false" outlineLevel="0" collapsed="false">
      <c r="A444" s="15"/>
      <c r="B444" s="15"/>
      <c r="C444" s="15"/>
      <c r="D444" s="15"/>
      <c r="E444" s="15"/>
      <c r="F444" s="15"/>
      <c r="G444" s="16" t="str">
        <f aca="false">IF(OR(E444="",F444=""),"",IF(E444=F444,"Yes","No"))</f>
        <v/>
      </c>
      <c r="H444" s="15"/>
      <c r="I444" s="15"/>
      <c r="J444" s="15"/>
      <c r="K444" s="15"/>
    </row>
    <row r="445" customFormat="false" ht="15" hidden="false" customHeight="false" outlineLevel="0" collapsed="false">
      <c r="A445" s="15"/>
      <c r="B445" s="15"/>
      <c r="C445" s="15"/>
      <c r="D445" s="15"/>
      <c r="E445" s="15"/>
      <c r="F445" s="15"/>
      <c r="G445" s="16" t="str">
        <f aca="false">IF(OR(E445="",F445=""),"",IF(E445=F445,"Yes","No"))</f>
        <v/>
      </c>
      <c r="H445" s="15"/>
      <c r="I445" s="15"/>
      <c r="J445" s="15"/>
      <c r="K445" s="15"/>
    </row>
    <row r="446" customFormat="false" ht="15" hidden="false" customHeight="false" outlineLevel="0" collapsed="false">
      <c r="A446" s="15"/>
      <c r="B446" s="15"/>
      <c r="C446" s="15"/>
      <c r="D446" s="15"/>
      <c r="E446" s="15"/>
      <c r="F446" s="15"/>
      <c r="G446" s="16" t="str">
        <f aca="false">IF(OR(E446="",F446=""),"",IF(E446=F446,"Yes","No"))</f>
        <v/>
      </c>
      <c r="H446" s="15"/>
      <c r="I446" s="15"/>
      <c r="J446" s="15"/>
      <c r="K446" s="15"/>
    </row>
    <row r="447" customFormat="false" ht="15" hidden="false" customHeight="false" outlineLevel="0" collapsed="false">
      <c r="A447" s="15"/>
      <c r="B447" s="15"/>
      <c r="C447" s="15"/>
      <c r="D447" s="15"/>
      <c r="E447" s="15"/>
      <c r="F447" s="15"/>
      <c r="G447" s="16" t="str">
        <f aca="false">IF(OR(E447="",F447=""),"",IF(E447=F447,"Yes","No"))</f>
        <v/>
      </c>
      <c r="H447" s="15"/>
      <c r="I447" s="15"/>
      <c r="J447" s="15"/>
      <c r="K447" s="15"/>
    </row>
    <row r="448" customFormat="false" ht="15" hidden="false" customHeight="false" outlineLevel="0" collapsed="false">
      <c r="A448" s="15"/>
      <c r="B448" s="15"/>
      <c r="C448" s="15"/>
      <c r="D448" s="15"/>
      <c r="E448" s="15"/>
      <c r="F448" s="15"/>
      <c r="G448" s="16" t="str">
        <f aca="false">IF(OR(E448="",F448=""),"",IF(E448=F448,"Yes","No"))</f>
        <v/>
      </c>
      <c r="H448" s="15"/>
      <c r="I448" s="15"/>
      <c r="J448" s="15"/>
      <c r="K448" s="15"/>
    </row>
    <row r="449" customFormat="false" ht="15" hidden="false" customHeight="false" outlineLevel="0" collapsed="false">
      <c r="A449" s="15"/>
      <c r="B449" s="15"/>
      <c r="C449" s="15"/>
      <c r="D449" s="15"/>
      <c r="E449" s="15"/>
      <c r="F449" s="15"/>
      <c r="G449" s="16" t="str">
        <f aca="false">IF(OR(E449="",F449=""),"",IF(E449=F449,"Yes","No"))</f>
        <v/>
      </c>
      <c r="H449" s="15"/>
      <c r="I449" s="15"/>
      <c r="J449" s="15"/>
      <c r="K449" s="15"/>
    </row>
    <row r="450" customFormat="false" ht="15" hidden="false" customHeight="false" outlineLevel="0" collapsed="false">
      <c r="A450" s="15"/>
      <c r="B450" s="15"/>
      <c r="C450" s="15"/>
      <c r="D450" s="15"/>
      <c r="E450" s="15"/>
      <c r="F450" s="15"/>
      <c r="G450" s="16" t="str">
        <f aca="false">IF(OR(E450="",F450=""),"",IF(E450=F450,"Yes","No"))</f>
        <v/>
      </c>
      <c r="H450" s="15"/>
      <c r="I450" s="15"/>
      <c r="J450" s="15"/>
      <c r="K450" s="15"/>
    </row>
    <row r="451" customFormat="false" ht="15" hidden="false" customHeight="false" outlineLevel="0" collapsed="false">
      <c r="A451" s="15"/>
      <c r="B451" s="15"/>
      <c r="C451" s="15"/>
      <c r="D451" s="15"/>
      <c r="E451" s="15"/>
      <c r="F451" s="15"/>
      <c r="G451" s="16" t="str">
        <f aca="false">IF(OR(E451="",F451=""),"",IF(E451=F451,"Yes","No"))</f>
        <v/>
      </c>
      <c r="H451" s="15"/>
      <c r="I451" s="15"/>
      <c r="J451" s="15"/>
      <c r="K451" s="15"/>
    </row>
    <row r="452" customFormat="false" ht="15" hidden="false" customHeight="false" outlineLevel="0" collapsed="false">
      <c r="A452" s="15"/>
      <c r="B452" s="15"/>
      <c r="C452" s="15"/>
      <c r="D452" s="15"/>
      <c r="E452" s="15"/>
      <c r="F452" s="15"/>
      <c r="G452" s="16" t="str">
        <f aca="false">IF(OR(E452="",F452=""),"",IF(E452=F452,"Yes","No"))</f>
        <v/>
      </c>
      <c r="H452" s="15"/>
      <c r="I452" s="15"/>
      <c r="J452" s="15"/>
      <c r="K452" s="15"/>
    </row>
    <row r="453" customFormat="false" ht="15" hidden="false" customHeight="false" outlineLevel="0" collapsed="false">
      <c r="A453" s="15"/>
      <c r="B453" s="15"/>
      <c r="C453" s="15"/>
      <c r="D453" s="15"/>
      <c r="E453" s="15"/>
      <c r="F453" s="15"/>
      <c r="G453" s="16" t="str">
        <f aca="false">IF(OR(E453="",F453=""),"",IF(E453=F453,"Yes","No"))</f>
        <v/>
      </c>
      <c r="H453" s="15"/>
      <c r="I453" s="15"/>
      <c r="J453" s="15"/>
      <c r="K453" s="15"/>
    </row>
    <row r="454" customFormat="false" ht="15" hidden="false" customHeight="false" outlineLevel="0" collapsed="false">
      <c r="A454" s="15"/>
      <c r="B454" s="15"/>
      <c r="C454" s="15"/>
      <c r="D454" s="15"/>
      <c r="E454" s="15"/>
      <c r="F454" s="15"/>
      <c r="G454" s="16" t="str">
        <f aca="false">IF(OR(E454="",F454=""),"",IF(E454=F454,"Yes","No"))</f>
        <v/>
      </c>
      <c r="H454" s="15"/>
      <c r="I454" s="15"/>
      <c r="J454" s="15"/>
      <c r="K454" s="15"/>
    </row>
    <row r="455" customFormat="false" ht="15" hidden="false" customHeight="false" outlineLevel="0" collapsed="false">
      <c r="A455" s="15"/>
      <c r="B455" s="15"/>
      <c r="C455" s="15"/>
      <c r="D455" s="15"/>
      <c r="E455" s="15"/>
      <c r="F455" s="15"/>
      <c r="G455" s="16" t="str">
        <f aca="false">IF(OR(E455="",F455=""),"",IF(E455=F455,"Yes","No"))</f>
        <v/>
      </c>
      <c r="H455" s="15"/>
      <c r="I455" s="15"/>
      <c r="J455" s="15"/>
      <c r="K455" s="15"/>
    </row>
    <row r="456" customFormat="false" ht="15" hidden="false" customHeight="false" outlineLevel="0" collapsed="false">
      <c r="A456" s="15"/>
      <c r="B456" s="15"/>
      <c r="C456" s="15"/>
      <c r="D456" s="15"/>
      <c r="E456" s="15"/>
      <c r="F456" s="15"/>
      <c r="G456" s="16" t="str">
        <f aca="false">IF(OR(E456="",F456=""),"",IF(E456=F456,"Yes","No"))</f>
        <v/>
      </c>
      <c r="H456" s="15"/>
      <c r="I456" s="15"/>
      <c r="J456" s="15"/>
      <c r="K456" s="15"/>
    </row>
    <row r="457" customFormat="false" ht="15" hidden="false" customHeight="false" outlineLevel="0" collapsed="false">
      <c r="A457" s="15"/>
      <c r="B457" s="15"/>
      <c r="C457" s="15"/>
      <c r="D457" s="15"/>
      <c r="E457" s="15"/>
      <c r="F457" s="15"/>
      <c r="G457" s="16" t="str">
        <f aca="false">IF(OR(E457="",F457=""),"",IF(E457=F457,"Yes","No"))</f>
        <v/>
      </c>
      <c r="H457" s="15"/>
      <c r="I457" s="15"/>
      <c r="J457" s="15"/>
      <c r="K457" s="15"/>
    </row>
    <row r="458" customFormat="false" ht="15" hidden="false" customHeight="false" outlineLevel="0" collapsed="false">
      <c r="A458" s="15"/>
      <c r="B458" s="15"/>
      <c r="C458" s="15"/>
      <c r="D458" s="15"/>
      <c r="E458" s="15"/>
      <c r="F458" s="15"/>
      <c r="G458" s="16" t="str">
        <f aca="false">IF(OR(E458="",F458=""),"",IF(E458=F458,"Yes","No"))</f>
        <v/>
      </c>
      <c r="H458" s="15"/>
      <c r="I458" s="15"/>
      <c r="J458" s="15"/>
      <c r="K458" s="15"/>
    </row>
    <row r="459" customFormat="false" ht="15" hidden="false" customHeight="false" outlineLevel="0" collapsed="false">
      <c r="A459" s="15"/>
      <c r="B459" s="15"/>
      <c r="C459" s="15"/>
      <c r="D459" s="15"/>
      <c r="E459" s="15"/>
      <c r="F459" s="15"/>
      <c r="G459" s="16" t="str">
        <f aca="false">IF(OR(E459="",F459=""),"",IF(E459=F459,"Yes","No"))</f>
        <v/>
      </c>
      <c r="H459" s="15"/>
      <c r="I459" s="15"/>
      <c r="J459" s="15"/>
      <c r="K459" s="15"/>
    </row>
    <row r="460" customFormat="false" ht="15" hidden="false" customHeight="false" outlineLevel="0" collapsed="false">
      <c r="A460" s="15"/>
      <c r="B460" s="15"/>
      <c r="C460" s="15"/>
      <c r="D460" s="15"/>
      <c r="E460" s="15"/>
      <c r="F460" s="15"/>
      <c r="G460" s="16" t="str">
        <f aca="false">IF(OR(E460="",F460=""),"",IF(E460=F460,"Yes","No"))</f>
        <v/>
      </c>
      <c r="H460" s="15"/>
      <c r="I460" s="15"/>
      <c r="J460" s="15"/>
      <c r="K460" s="15"/>
    </row>
    <row r="461" customFormat="false" ht="15" hidden="false" customHeight="false" outlineLevel="0" collapsed="false">
      <c r="A461" s="15"/>
      <c r="B461" s="15"/>
      <c r="C461" s="15"/>
      <c r="D461" s="15"/>
      <c r="E461" s="15"/>
      <c r="F461" s="15"/>
      <c r="G461" s="16" t="str">
        <f aca="false">IF(OR(E461="",F461=""),"",IF(E461=F461,"Yes","No"))</f>
        <v/>
      </c>
      <c r="H461" s="15"/>
      <c r="I461" s="15"/>
      <c r="J461" s="15"/>
      <c r="K461" s="15"/>
    </row>
    <row r="462" customFormat="false" ht="15" hidden="false" customHeight="false" outlineLevel="0" collapsed="false">
      <c r="A462" s="15"/>
      <c r="B462" s="15"/>
      <c r="C462" s="15"/>
      <c r="D462" s="15"/>
      <c r="E462" s="15"/>
      <c r="F462" s="15"/>
      <c r="G462" s="16" t="str">
        <f aca="false">IF(OR(E462="",F462=""),"",IF(E462=F462,"Yes","No"))</f>
        <v/>
      </c>
      <c r="H462" s="15"/>
      <c r="I462" s="15"/>
      <c r="J462" s="15"/>
      <c r="K462" s="15"/>
    </row>
    <row r="463" customFormat="false" ht="15" hidden="false" customHeight="false" outlineLevel="0" collapsed="false">
      <c r="A463" s="15"/>
      <c r="B463" s="15"/>
      <c r="C463" s="15"/>
      <c r="D463" s="15"/>
      <c r="E463" s="15"/>
      <c r="F463" s="15"/>
      <c r="G463" s="16" t="str">
        <f aca="false">IF(OR(E463="",F463=""),"",IF(E463=F463,"Yes","No"))</f>
        <v/>
      </c>
      <c r="H463" s="15"/>
      <c r="I463" s="15"/>
      <c r="J463" s="15"/>
      <c r="K463" s="15"/>
    </row>
    <row r="464" customFormat="false" ht="15" hidden="false" customHeight="false" outlineLevel="0" collapsed="false">
      <c r="A464" s="15"/>
      <c r="B464" s="15"/>
      <c r="C464" s="15"/>
      <c r="D464" s="15"/>
      <c r="E464" s="15"/>
      <c r="F464" s="15"/>
      <c r="G464" s="16" t="str">
        <f aca="false">IF(OR(E464="",F464=""),"",IF(E464=F464,"Yes","No"))</f>
        <v/>
      </c>
      <c r="H464" s="15"/>
      <c r="I464" s="15"/>
      <c r="J464" s="15"/>
      <c r="K464" s="15"/>
    </row>
    <row r="465" customFormat="false" ht="15" hidden="false" customHeight="false" outlineLevel="0" collapsed="false">
      <c r="A465" s="15"/>
      <c r="B465" s="15"/>
      <c r="C465" s="15"/>
      <c r="D465" s="15"/>
      <c r="E465" s="15"/>
      <c r="F465" s="15"/>
      <c r="G465" s="16" t="str">
        <f aca="false">IF(OR(E465="",F465=""),"",IF(E465=F465,"Yes","No"))</f>
        <v/>
      </c>
      <c r="H465" s="15"/>
      <c r="I465" s="15"/>
      <c r="J465" s="15"/>
      <c r="K465" s="15"/>
    </row>
    <row r="466" customFormat="false" ht="15" hidden="false" customHeight="false" outlineLevel="0" collapsed="false">
      <c r="A466" s="15"/>
      <c r="B466" s="15"/>
      <c r="C466" s="15"/>
      <c r="D466" s="15"/>
      <c r="E466" s="15"/>
      <c r="F466" s="15"/>
      <c r="G466" s="16" t="str">
        <f aca="false">IF(OR(E466="",F466=""),"",IF(E466=F466,"Yes","No"))</f>
        <v/>
      </c>
      <c r="H466" s="15"/>
      <c r="I466" s="15"/>
      <c r="J466" s="15"/>
      <c r="K466" s="15"/>
    </row>
    <row r="467" customFormat="false" ht="15" hidden="false" customHeight="false" outlineLevel="0" collapsed="false">
      <c r="A467" s="15"/>
      <c r="B467" s="15"/>
      <c r="C467" s="15"/>
      <c r="D467" s="15"/>
      <c r="E467" s="15"/>
      <c r="F467" s="15"/>
      <c r="G467" s="16" t="str">
        <f aca="false">IF(OR(E467="",F467=""),"",IF(E467=F467,"Yes","No"))</f>
        <v/>
      </c>
      <c r="H467" s="15"/>
      <c r="I467" s="15"/>
      <c r="J467" s="15"/>
      <c r="K467" s="15"/>
    </row>
    <row r="468" customFormat="false" ht="15" hidden="false" customHeight="false" outlineLevel="0" collapsed="false">
      <c r="A468" s="15"/>
      <c r="B468" s="15"/>
      <c r="C468" s="15"/>
      <c r="D468" s="15"/>
      <c r="E468" s="15"/>
      <c r="F468" s="15"/>
      <c r="G468" s="16" t="str">
        <f aca="false">IF(OR(E468="",F468=""),"",IF(E468=F468,"Yes","No"))</f>
        <v/>
      </c>
      <c r="H468" s="15"/>
      <c r="I468" s="15"/>
      <c r="J468" s="15"/>
      <c r="K468" s="15"/>
    </row>
    <row r="469" customFormat="false" ht="15" hidden="false" customHeight="false" outlineLevel="0" collapsed="false">
      <c r="A469" s="15"/>
      <c r="B469" s="15"/>
      <c r="C469" s="15"/>
      <c r="D469" s="15"/>
      <c r="E469" s="15"/>
      <c r="F469" s="15"/>
      <c r="G469" s="16" t="str">
        <f aca="false">IF(OR(E469="",F469=""),"",IF(E469=F469,"Yes","No"))</f>
        <v/>
      </c>
      <c r="H469" s="15"/>
      <c r="I469" s="15"/>
      <c r="J469" s="15"/>
      <c r="K469" s="15"/>
    </row>
    <row r="470" customFormat="false" ht="15" hidden="false" customHeight="false" outlineLevel="0" collapsed="false">
      <c r="A470" s="15"/>
      <c r="B470" s="15"/>
      <c r="C470" s="15"/>
      <c r="D470" s="15"/>
      <c r="E470" s="15"/>
      <c r="F470" s="15"/>
      <c r="G470" s="16" t="str">
        <f aca="false">IF(OR(E470="",F470=""),"",IF(E470=F470,"Yes","No"))</f>
        <v/>
      </c>
      <c r="H470" s="15"/>
      <c r="I470" s="15"/>
      <c r="J470" s="15"/>
      <c r="K470" s="15"/>
    </row>
    <row r="471" customFormat="false" ht="15" hidden="false" customHeight="false" outlineLevel="0" collapsed="false">
      <c r="A471" s="15"/>
      <c r="B471" s="15"/>
      <c r="C471" s="15"/>
      <c r="D471" s="15"/>
      <c r="E471" s="15"/>
      <c r="F471" s="15"/>
      <c r="G471" s="16" t="str">
        <f aca="false">IF(OR(E471="",F471=""),"",IF(E471=F471,"Yes","No"))</f>
        <v/>
      </c>
      <c r="H471" s="15"/>
      <c r="I471" s="15"/>
      <c r="J471" s="15"/>
      <c r="K471" s="15"/>
    </row>
    <row r="472" customFormat="false" ht="15" hidden="false" customHeight="false" outlineLevel="0" collapsed="false">
      <c r="A472" s="15"/>
      <c r="B472" s="15"/>
      <c r="C472" s="15"/>
      <c r="D472" s="15"/>
      <c r="E472" s="15"/>
      <c r="F472" s="15"/>
      <c r="G472" s="16" t="str">
        <f aca="false">IF(OR(E472="",F472=""),"",IF(E472=F472,"Yes","No"))</f>
        <v/>
      </c>
      <c r="H472" s="15"/>
      <c r="I472" s="15"/>
      <c r="J472" s="15"/>
      <c r="K472" s="15"/>
    </row>
    <row r="473" customFormat="false" ht="15" hidden="false" customHeight="false" outlineLevel="0" collapsed="false">
      <c r="A473" s="15"/>
      <c r="B473" s="15"/>
      <c r="C473" s="15"/>
      <c r="D473" s="15"/>
      <c r="E473" s="15"/>
      <c r="F473" s="15"/>
      <c r="G473" s="16" t="str">
        <f aca="false">IF(OR(E473="",F473=""),"",IF(E473=F473,"Yes","No"))</f>
        <v/>
      </c>
      <c r="H473" s="15"/>
      <c r="I473" s="15"/>
      <c r="J473" s="15"/>
      <c r="K473" s="15"/>
    </row>
    <row r="474" customFormat="false" ht="15" hidden="false" customHeight="false" outlineLevel="0" collapsed="false">
      <c r="A474" s="15"/>
      <c r="B474" s="15"/>
      <c r="C474" s="15"/>
      <c r="D474" s="15"/>
      <c r="E474" s="15"/>
      <c r="F474" s="15"/>
      <c r="G474" s="16" t="str">
        <f aca="false">IF(OR(E474="",F474=""),"",IF(E474=F474,"Yes","No"))</f>
        <v/>
      </c>
      <c r="H474" s="15"/>
      <c r="I474" s="15"/>
      <c r="J474" s="15"/>
      <c r="K474" s="15"/>
    </row>
    <row r="475" customFormat="false" ht="15" hidden="false" customHeight="false" outlineLevel="0" collapsed="false">
      <c r="A475" s="15"/>
      <c r="B475" s="15"/>
      <c r="C475" s="15"/>
      <c r="D475" s="15"/>
      <c r="E475" s="15"/>
      <c r="F475" s="15"/>
      <c r="G475" s="16" t="str">
        <f aca="false">IF(OR(E475="",F475=""),"",IF(E475=F475,"Yes","No"))</f>
        <v/>
      </c>
      <c r="H475" s="15"/>
      <c r="I475" s="15"/>
      <c r="J475" s="15"/>
      <c r="K475" s="15"/>
    </row>
    <row r="476" customFormat="false" ht="15" hidden="false" customHeight="false" outlineLevel="0" collapsed="false">
      <c r="A476" s="15"/>
      <c r="B476" s="15"/>
      <c r="C476" s="15"/>
      <c r="D476" s="15"/>
      <c r="E476" s="15"/>
      <c r="F476" s="15"/>
      <c r="G476" s="16" t="str">
        <f aca="false">IF(OR(E476="",F476=""),"",IF(E476=F476,"Yes","No"))</f>
        <v/>
      </c>
      <c r="H476" s="15"/>
      <c r="I476" s="15"/>
      <c r="J476" s="15"/>
      <c r="K476" s="15"/>
    </row>
    <row r="477" customFormat="false" ht="15" hidden="false" customHeight="false" outlineLevel="0" collapsed="false">
      <c r="A477" s="15"/>
      <c r="B477" s="15"/>
      <c r="C477" s="15"/>
      <c r="D477" s="15"/>
      <c r="E477" s="15"/>
      <c r="F477" s="15"/>
      <c r="G477" s="16" t="str">
        <f aca="false">IF(OR(E477="",F477=""),"",IF(E477=F477,"Yes","No"))</f>
        <v/>
      </c>
      <c r="H477" s="15"/>
      <c r="I477" s="15"/>
      <c r="J477" s="15"/>
      <c r="K477" s="15"/>
    </row>
    <row r="478" customFormat="false" ht="15" hidden="false" customHeight="false" outlineLevel="0" collapsed="false">
      <c r="A478" s="15"/>
      <c r="B478" s="15"/>
      <c r="C478" s="15"/>
      <c r="D478" s="15"/>
      <c r="E478" s="15"/>
      <c r="F478" s="15"/>
      <c r="G478" s="16" t="str">
        <f aca="false">IF(OR(E478="",F478=""),"",IF(E478=F478,"Yes","No"))</f>
        <v/>
      </c>
      <c r="H478" s="15"/>
      <c r="I478" s="15"/>
      <c r="J478" s="15"/>
      <c r="K478" s="15"/>
    </row>
    <row r="479" customFormat="false" ht="15" hidden="false" customHeight="false" outlineLevel="0" collapsed="false">
      <c r="A479" s="15"/>
      <c r="B479" s="15"/>
      <c r="C479" s="15"/>
      <c r="D479" s="15"/>
      <c r="E479" s="15"/>
      <c r="F479" s="15"/>
      <c r="G479" s="16" t="str">
        <f aca="false">IF(OR(E479="",F479=""),"",IF(E479=F479,"Yes","No"))</f>
        <v/>
      </c>
      <c r="H479" s="15"/>
      <c r="I479" s="15"/>
      <c r="J479" s="15"/>
      <c r="K479" s="15"/>
    </row>
    <row r="480" customFormat="false" ht="15" hidden="false" customHeight="false" outlineLevel="0" collapsed="false">
      <c r="A480" s="15"/>
      <c r="B480" s="15"/>
      <c r="C480" s="15"/>
      <c r="D480" s="15"/>
      <c r="E480" s="15"/>
      <c r="F480" s="15"/>
      <c r="G480" s="16" t="str">
        <f aca="false">IF(OR(E480="",F480=""),"",IF(E480=F480,"Yes","No"))</f>
        <v/>
      </c>
      <c r="H480" s="15"/>
      <c r="I480" s="15"/>
      <c r="J480" s="15"/>
      <c r="K480" s="15"/>
    </row>
    <row r="481" customFormat="false" ht="15" hidden="false" customHeight="false" outlineLevel="0" collapsed="false">
      <c r="A481" s="15"/>
      <c r="B481" s="15"/>
      <c r="C481" s="15"/>
      <c r="D481" s="15"/>
      <c r="E481" s="15"/>
      <c r="F481" s="15"/>
      <c r="G481" s="16" t="str">
        <f aca="false">IF(OR(E481="",F481=""),"",IF(E481=F481,"Yes","No"))</f>
        <v/>
      </c>
      <c r="H481" s="15"/>
      <c r="I481" s="15"/>
      <c r="J481" s="15"/>
      <c r="K481" s="15"/>
    </row>
    <row r="482" customFormat="false" ht="15" hidden="false" customHeight="false" outlineLevel="0" collapsed="false">
      <c r="A482" s="15"/>
      <c r="B482" s="15"/>
      <c r="C482" s="15"/>
      <c r="D482" s="15"/>
      <c r="E482" s="15"/>
      <c r="F482" s="15"/>
      <c r="G482" s="16" t="str">
        <f aca="false">IF(OR(E482="",F482=""),"",IF(E482=F482,"Yes","No"))</f>
        <v/>
      </c>
      <c r="H482" s="15"/>
      <c r="I482" s="15"/>
      <c r="J482" s="15"/>
      <c r="K482" s="15"/>
    </row>
    <row r="483" customFormat="false" ht="15" hidden="false" customHeight="false" outlineLevel="0" collapsed="false">
      <c r="A483" s="15"/>
      <c r="B483" s="15"/>
      <c r="C483" s="15"/>
      <c r="D483" s="15"/>
      <c r="E483" s="15"/>
      <c r="F483" s="15"/>
      <c r="G483" s="16" t="str">
        <f aca="false">IF(OR(E483="",F483=""),"",IF(E483=F483,"Yes","No"))</f>
        <v/>
      </c>
      <c r="H483" s="15"/>
      <c r="I483" s="15"/>
      <c r="J483" s="15"/>
      <c r="K483" s="15"/>
    </row>
    <row r="484" customFormat="false" ht="15" hidden="false" customHeight="false" outlineLevel="0" collapsed="false">
      <c r="A484" s="15"/>
      <c r="B484" s="15"/>
      <c r="C484" s="15"/>
      <c r="D484" s="15"/>
      <c r="E484" s="15"/>
      <c r="F484" s="15"/>
      <c r="G484" s="16" t="str">
        <f aca="false">IF(OR(E484="",F484=""),"",IF(E484=F484,"Yes","No"))</f>
        <v/>
      </c>
      <c r="H484" s="15"/>
      <c r="I484" s="15"/>
      <c r="J484" s="15"/>
      <c r="K484" s="15"/>
    </row>
    <row r="485" customFormat="false" ht="15" hidden="false" customHeight="false" outlineLevel="0" collapsed="false">
      <c r="A485" s="15"/>
      <c r="B485" s="15"/>
      <c r="C485" s="15"/>
      <c r="D485" s="15"/>
      <c r="E485" s="15"/>
      <c r="F485" s="15"/>
      <c r="G485" s="16" t="str">
        <f aca="false">IF(OR(E485="",F485=""),"",IF(E485=F485,"Yes","No"))</f>
        <v/>
      </c>
      <c r="H485" s="15"/>
      <c r="I485" s="15"/>
      <c r="J485" s="15"/>
      <c r="K485" s="15"/>
    </row>
    <row r="486" customFormat="false" ht="15" hidden="false" customHeight="false" outlineLevel="0" collapsed="false">
      <c r="A486" s="15"/>
      <c r="B486" s="15"/>
      <c r="C486" s="15"/>
      <c r="D486" s="15"/>
      <c r="E486" s="15"/>
      <c r="F486" s="15"/>
      <c r="G486" s="16" t="str">
        <f aca="false">IF(OR(E486="",F486=""),"",IF(E486=F486,"Yes","No"))</f>
        <v/>
      </c>
      <c r="H486" s="15"/>
      <c r="I486" s="15"/>
      <c r="J486" s="15"/>
      <c r="K486" s="15"/>
    </row>
    <row r="487" customFormat="false" ht="15" hidden="false" customHeight="false" outlineLevel="0" collapsed="false">
      <c r="A487" s="15"/>
      <c r="B487" s="15"/>
      <c r="C487" s="15"/>
      <c r="D487" s="15"/>
      <c r="E487" s="15"/>
      <c r="F487" s="15"/>
      <c r="G487" s="16" t="str">
        <f aca="false">IF(OR(E487="",F487=""),"",IF(E487=F487,"Yes","No"))</f>
        <v/>
      </c>
      <c r="H487" s="15"/>
      <c r="I487" s="15"/>
      <c r="J487" s="15"/>
      <c r="K487" s="15"/>
    </row>
    <row r="488" customFormat="false" ht="15" hidden="false" customHeight="false" outlineLevel="0" collapsed="false">
      <c r="A488" s="15"/>
      <c r="B488" s="15"/>
      <c r="C488" s="15"/>
      <c r="D488" s="15"/>
      <c r="E488" s="15"/>
      <c r="F488" s="15"/>
      <c r="G488" s="16" t="str">
        <f aca="false">IF(OR(E488="",F488=""),"",IF(E488=F488,"Yes","No"))</f>
        <v/>
      </c>
      <c r="H488" s="15"/>
      <c r="I488" s="15"/>
      <c r="J488" s="15"/>
      <c r="K488" s="15"/>
    </row>
    <row r="489" customFormat="false" ht="15" hidden="false" customHeight="false" outlineLevel="0" collapsed="false">
      <c r="A489" s="15"/>
      <c r="B489" s="15"/>
      <c r="C489" s="15"/>
      <c r="D489" s="15"/>
      <c r="E489" s="15"/>
      <c r="F489" s="15"/>
      <c r="G489" s="16" t="str">
        <f aca="false">IF(OR(E489="",F489=""),"",IF(E489=F489,"Yes","No"))</f>
        <v/>
      </c>
      <c r="H489" s="15"/>
      <c r="I489" s="15"/>
      <c r="J489" s="15"/>
      <c r="K489" s="15"/>
    </row>
    <row r="490" customFormat="false" ht="15" hidden="false" customHeight="false" outlineLevel="0" collapsed="false">
      <c r="A490" s="15"/>
      <c r="B490" s="15"/>
      <c r="C490" s="15"/>
      <c r="D490" s="15"/>
      <c r="E490" s="15"/>
      <c r="F490" s="15"/>
      <c r="G490" s="16" t="str">
        <f aca="false">IF(OR(E490="",F490=""),"",IF(E490=F490,"Yes","No"))</f>
        <v/>
      </c>
      <c r="H490" s="15"/>
      <c r="I490" s="15"/>
      <c r="J490" s="15"/>
      <c r="K490" s="15"/>
    </row>
    <row r="491" customFormat="false" ht="15" hidden="false" customHeight="false" outlineLevel="0" collapsed="false">
      <c r="A491" s="15"/>
      <c r="B491" s="15"/>
      <c r="C491" s="15"/>
      <c r="D491" s="15"/>
      <c r="E491" s="15"/>
      <c r="F491" s="15"/>
      <c r="G491" s="16" t="str">
        <f aca="false">IF(OR(E491="",F491=""),"",IF(E491=F491,"Yes","No"))</f>
        <v/>
      </c>
      <c r="H491" s="15"/>
      <c r="I491" s="15"/>
      <c r="J491" s="15"/>
      <c r="K491" s="15"/>
    </row>
    <row r="492" customFormat="false" ht="15" hidden="false" customHeight="false" outlineLevel="0" collapsed="false">
      <c r="A492" s="15"/>
      <c r="B492" s="15"/>
      <c r="C492" s="15"/>
      <c r="D492" s="15"/>
      <c r="E492" s="15"/>
      <c r="F492" s="15"/>
      <c r="G492" s="16" t="str">
        <f aca="false">IF(OR(E492="",F492=""),"",IF(E492=F492,"Yes","No"))</f>
        <v/>
      </c>
      <c r="H492" s="15"/>
      <c r="I492" s="15"/>
      <c r="J492" s="15"/>
      <c r="K492" s="15"/>
    </row>
    <row r="493" customFormat="false" ht="15" hidden="false" customHeight="false" outlineLevel="0" collapsed="false">
      <c r="A493" s="15"/>
      <c r="B493" s="15"/>
      <c r="C493" s="15"/>
      <c r="D493" s="15"/>
      <c r="E493" s="15"/>
      <c r="F493" s="15"/>
      <c r="G493" s="16" t="str">
        <f aca="false">IF(OR(E493="",F493=""),"",IF(E493=F493,"Yes","No"))</f>
        <v/>
      </c>
      <c r="H493" s="15"/>
      <c r="I493" s="15"/>
      <c r="J493" s="15"/>
      <c r="K493" s="15"/>
    </row>
    <row r="494" customFormat="false" ht="15" hidden="false" customHeight="false" outlineLevel="0" collapsed="false">
      <c r="A494" s="15"/>
      <c r="B494" s="15"/>
      <c r="C494" s="15"/>
      <c r="D494" s="15"/>
      <c r="E494" s="15"/>
      <c r="F494" s="15"/>
      <c r="G494" s="16" t="str">
        <f aca="false">IF(OR(E494="",F494=""),"",IF(E494=F494,"Yes","No"))</f>
        <v/>
      </c>
      <c r="H494" s="15"/>
      <c r="I494" s="15"/>
      <c r="J494" s="15"/>
      <c r="K494" s="15"/>
    </row>
    <row r="495" customFormat="false" ht="15" hidden="false" customHeight="false" outlineLevel="0" collapsed="false">
      <c r="A495" s="15"/>
      <c r="B495" s="15"/>
      <c r="C495" s="15"/>
      <c r="D495" s="15"/>
      <c r="E495" s="15"/>
      <c r="F495" s="15"/>
      <c r="G495" s="16" t="str">
        <f aca="false">IF(OR(E495="",F495=""),"",IF(E495=F495,"Yes","No"))</f>
        <v/>
      </c>
      <c r="H495" s="15"/>
      <c r="I495" s="15"/>
      <c r="J495" s="15"/>
      <c r="K495" s="15"/>
    </row>
    <row r="496" customFormat="false" ht="15" hidden="false" customHeight="false" outlineLevel="0" collapsed="false">
      <c r="A496" s="15"/>
      <c r="B496" s="15"/>
      <c r="C496" s="15"/>
      <c r="D496" s="15"/>
      <c r="E496" s="15"/>
      <c r="F496" s="15"/>
      <c r="G496" s="16" t="str">
        <f aca="false">IF(OR(E496="",F496=""),"",IF(E496=F496,"Yes","No"))</f>
        <v/>
      </c>
      <c r="H496" s="15"/>
      <c r="I496" s="15"/>
      <c r="J496" s="15"/>
      <c r="K496" s="15"/>
    </row>
    <row r="497" customFormat="false" ht="15" hidden="false" customHeight="false" outlineLevel="0" collapsed="false">
      <c r="A497" s="15"/>
      <c r="B497" s="15"/>
      <c r="C497" s="15"/>
      <c r="D497" s="15"/>
      <c r="E497" s="15"/>
      <c r="F497" s="15"/>
      <c r="G497" s="16" t="str">
        <f aca="false">IF(OR(E497="",F497=""),"",IF(E497=F497,"Yes","No"))</f>
        <v/>
      </c>
      <c r="H497" s="15"/>
      <c r="I497" s="15"/>
      <c r="J497" s="15"/>
      <c r="K497" s="15"/>
    </row>
    <row r="498" customFormat="false" ht="15" hidden="false" customHeight="false" outlineLevel="0" collapsed="false">
      <c r="A498" s="15"/>
      <c r="B498" s="15"/>
      <c r="C498" s="15"/>
      <c r="D498" s="15"/>
      <c r="E498" s="15"/>
      <c r="F498" s="15"/>
      <c r="G498" s="16" t="str">
        <f aca="false">IF(OR(E498="",F498=""),"",IF(E498=F498,"Yes","No"))</f>
        <v/>
      </c>
      <c r="H498" s="15"/>
      <c r="I498" s="15"/>
      <c r="J498" s="15"/>
      <c r="K498" s="15"/>
    </row>
    <row r="499" customFormat="false" ht="15" hidden="false" customHeight="false" outlineLevel="0" collapsed="false">
      <c r="A499" s="15"/>
      <c r="B499" s="15"/>
      <c r="C499" s="15"/>
      <c r="D499" s="15"/>
      <c r="E499" s="15"/>
      <c r="F499" s="15"/>
      <c r="G499" s="16" t="str">
        <f aca="false">IF(OR(E499="",F499=""),"",IF(E499=F499,"Yes","No"))</f>
        <v/>
      </c>
      <c r="H499" s="15"/>
      <c r="I499" s="15"/>
      <c r="J499" s="15"/>
      <c r="K499" s="15"/>
    </row>
    <row r="500" customFormat="false" ht="15" hidden="false" customHeight="false" outlineLevel="0" collapsed="false">
      <c r="A500" s="15"/>
      <c r="B500" s="15"/>
      <c r="C500" s="15"/>
      <c r="D500" s="15"/>
      <c r="E500" s="15"/>
      <c r="F500" s="15"/>
      <c r="G500" s="16" t="str">
        <f aca="false">IF(OR(E500="",F500=""),"",IF(E500=F500,"Yes","No"))</f>
        <v/>
      </c>
      <c r="H500" s="15"/>
      <c r="I500" s="15"/>
      <c r="J500" s="15"/>
      <c r="K500" s="15"/>
    </row>
    <row r="501" customFormat="false" ht="15" hidden="false" customHeight="false" outlineLevel="0" collapsed="false">
      <c r="A501" s="15"/>
      <c r="B501" s="15"/>
      <c r="C501" s="15"/>
      <c r="D501" s="15"/>
      <c r="E501" s="15"/>
      <c r="F501" s="15"/>
      <c r="G501" s="16" t="str">
        <f aca="false">IF(OR(E501="",F501=""),"",IF(E501=F501,"Yes","No"))</f>
        <v/>
      </c>
      <c r="H501" s="15"/>
      <c r="I501" s="15"/>
      <c r="J501" s="15"/>
      <c r="K501" s="15"/>
    </row>
    <row r="502" customFormat="false" ht="15" hidden="false" customHeight="false" outlineLevel="0" collapsed="false">
      <c r="A502" s="15"/>
      <c r="B502" s="15"/>
      <c r="C502" s="15"/>
      <c r="D502" s="15"/>
      <c r="E502" s="15"/>
      <c r="F502" s="15"/>
      <c r="G502" s="16" t="str">
        <f aca="false">IF(OR(E502="",F502=""),"",IF(E502=F502,"Yes","No"))</f>
        <v/>
      </c>
      <c r="H502" s="15"/>
      <c r="I502" s="15"/>
      <c r="J502" s="15"/>
      <c r="K502" s="15"/>
    </row>
    <row r="503" customFormat="false" ht="15" hidden="false" customHeight="false" outlineLevel="0" collapsed="false">
      <c r="A503" s="15"/>
      <c r="B503" s="15"/>
      <c r="C503" s="15"/>
      <c r="D503" s="15"/>
      <c r="E503" s="15"/>
      <c r="F503" s="15"/>
      <c r="G503" s="16" t="str">
        <f aca="false">IF(OR(E503="",F503=""),"",IF(E503=F503,"Yes","No"))</f>
        <v/>
      </c>
      <c r="H503" s="15"/>
      <c r="I503" s="15"/>
      <c r="J503" s="15"/>
      <c r="K503" s="15"/>
    </row>
    <row r="504" customFormat="false" ht="15" hidden="false" customHeight="false" outlineLevel="0" collapsed="false">
      <c r="A504" s="15"/>
      <c r="B504" s="15"/>
      <c r="C504" s="15"/>
      <c r="D504" s="15"/>
      <c r="E504" s="15"/>
      <c r="F504" s="15"/>
      <c r="G504" s="16" t="str">
        <f aca="false">IF(OR(E504="",F504=""),"",IF(E504=F504,"Yes","No"))</f>
        <v/>
      </c>
      <c r="H504" s="15"/>
      <c r="I504" s="15"/>
      <c r="J504" s="15"/>
      <c r="K504" s="15"/>
    </row>
    <row r="505" customFormat="false" ht="15" hidden="false" customHeight="false" outlineLevel="0" collapsed="false">
      <c r="A505" s="15"/>
      <c r="B505" s="15"/>
      <c r="C505" s="15"/>
      <c r="D505" s="15"/>
      <c r="E505" s="15"/>
      <c r="F505" s="15"/>
      <c r="G505" s="16" t="str">
        <f aca="false">IF(OR(E505="",F505=""),"",IF(E505=F505,"Yes","No"))</f>
        <v/>
      </c>
      <c r="H505" s="15"/>
      <c r="I505" s="15"/>
      <c r="J505" s="15"/>
      <c r="K505" s="15"/>
    </row>
    <row r="506" customFormat="false" ht="15" hidden="false" customHeight="false" outlineLevel="0" collapsed="false">
      <c r="A506" s="15"/>
      <c r="B506" s="15"/>
      <c r="C506" s="15"/>
      <c r="D506" s="15"/>
      <c r="E506" s="15"/>
      <c r="F506" s="15"/>
      <c r="G506" s="16" t="str">
        <f aca="false">IF(OR(E506="",F506=""),"",IF(E506=F506,"Yes","No"))</f>
        <v/>
      </c>
      <c r="H506" s="15"/>
      <c r="I506" s="15"/>
      <c r="J506" s="15"/>
      <c r="K506" s="15"/>
    </row>
    <row r="507" customFormat="false" ht="15" hidden="false" customHeight="false" outlineLevel="0" collapsed="false">
      <c r="A507" s="15"/>
      <c r="B507" s="15"/>
      <c r="C507" s="15"/>
      <c r="D507" s="15"/>
      <c r="E507" s="15"/>
      <c r="F507" s="15"/>
      <c r="G507" s="16" t="str">
        <f aca="false">IF(OR(E507="",F507=""),"",IF(E507=F507,"Yes","No"))</f>
        <v/>
      </c>
      <c r="H507" s="15"/>
      <c r="I507" s="15"/>
      <c r="J507" s="15"/>
      <c r="K507" s="15"/>
    </row>
    <row r="508" customFormat="false" ht="15" hidden="false" customHeight="false" outlineLevel="0" collapsed="false">
      <c r="A508" s="15"/>
      <c r="B508" s="15"/>
      <c r="C508" s="15"/>
      <c r="D508" s="15"/>
      <c r="E508" s="15"/>
      <c r="F508" s="15"/>
      <c r="G508" s="16" t="str">
        <f aca="false">IF(OR(E508="",F508=""),"",IF(E508=F508,"Yes","No"))</f>
        <v/>
      </c>
      <c r="H508" s="15"/>
      <c r="I508" s="15"/>
      <c r="J508" s="15"/>
      <c r="K508" s="15"/>
    </row>
    <row r="509" customFormat="false" ht="15" hidden="false" customHeight="false" outlineLevel="0" collapsed="false">
      <c r="A509" s="15"/>
      <c r="B509" s="15"/>
      <c r="C509" s="15"/>
      <c r="D509" s="15"/>
      <c r="E509" s="15"/>
      <c r="F509" s="15"/>
      <c r="G509" s="16" t="str">
        <f aca="false">IF(OR(E509="",F509=""),"",IF(E509=F509,"Yes","No"))</f>
        <v/>
      </c>
      <c r="H509" s="15"/>
      <c r="I509" s="15"/>
      <c r="J509" s="15"/>
      <c r="K509" s="15"/>
    </row>
    <row r="510" customFormat="false" ht="15" hidden="false" customHeight="false" outlineLevel="0" collapsed="false">
      <c r="A510" s="15"/>
      <c r="B510" s="15"/>
      <c r="C510" s="15"/>
      <c r="D510" s="15"/>
      <c r="E510" s="15"/>
      <c r="F510" s="15"/>
      <c r="G510" s="16" t="str">
        <f aca="false">IF(OR(E510="",F510=""),"",IF(E510=F510,"Yes","No"))</f>
        <v/>
      </c>
      <c r="H510" s="15"/>
      <c r="I510" s="15"/>
      <c r="J510" s="15"/>
      <c r="K510" s="15"/>
    </row>
    <row r="511" customFormat="false" ht="15" hidden="false" customHeight="false" outlineLevel="0" collapsed="false">
      <c r="A511" s="15"/>
      <c r="B511" s="15"/>
      <c r="C511" s="15"/>
      <c r="D511" s="15"/>
      <c r="E511" s="15"/>
      <c r="F511" s="15"/>
      <c r="G511" s="16" t="str">
        <f aca="false">IF(OR(E511="",F511=""),"",IF(E511=F511,"Yes","No"))</f>
        <v/>
      </c>
      <c r="H511" s="15"/>
      <c r="I511" s="15"/>
      <c r="J511" s="15"/>
      <c r="K511" s="15"/>
    </row>
    <row r="512" customFormat="false" ht="15" hidden="false" customHeight="false" outlineLevel="0" collapsed="false">
      <c r="A512" s="15"/>
      <c r="B512" s="15"/>
      <c r="C512" s="15"/>
      <c r="D512" s="15"/>
      <c r="E512" s="15"/>
      <c r="F512" s="15"/>
      <c r="G512" s="16" t="str">
        <f aca="false">IF(OR(E512="",F512=""),"",IF(E512=F512,"Yes","No"))</f>
        <v/>
      </c>
      <c r="H512" s="15"/>
      <c r="I512" s="15"/>
      <c r="J512" s="15"/>
      <c r="K512" s="15"/>
    </row>
    <row r="513" customFormat="false" ht="15" hidden="false" customHeight="false" outlineLevel="0" collapsed="false">
      <c r="A513" s="15"/>
      <c r="B513" s="15"/>
      <c r="C513" s="15"/>
      <c r="D513" s="15"/>
      <c r="E513" s="15"/>
      <c r="F513" s="15"/>
      <c r="G513" s="16" t="str">
        <f aca="false">IF(OR(E513="",F513=""),"",IF(E513=F513,"Yes","No"))</f>
        <v/>
      </c>
      <c r="H513" s="15"/>
      <c r="I513" s="15"/>
      <c r="J513" s="15"/>
      <c r="K513" s="15"/>
    </row>
    <row r="514" customFormat="false" ht="15" hidden="false" customHeight="false" outlineLevel="0" collapsed="false">
      <c r="A514" s="15"/>
      <c r="B514" s="15"/>
      <c r="C514" s="15"/>
      <c r="D514" s="15"/>
      <c r="E514" s="15"/>
      <c r="F514" s="15"/>
      <c r="G514" s="16" t="str">
        <f aca="false">IF(OR(E514="",F514=""),"",IF(E514=F514,"Yes","No"))</f>
        <v/>
      </c>
      <c r="H514" s="15"/>
      <c r="I514" s="15"/>
      <c r="J514" s="15"/>
      <c r="K514" s="15"/>
    </row>
    <row r="515" customFormat="false" ht="15" hidden="false" customHeight="false" outlineLevel="0" collapsed="false">
      <c r="A515" s="15"/>
      <c r="B515" s="15"/>
      <c r="C515" s="15"/>
      <c r="D515" s="15"/>
      <c r="E515" s="15"/>
      <c r="F515" s="15"/>
      <c r="G515" s="16" t="str">
        <f aca="false">IF(OR(E515="",F515=""),"",IF(E515=F515,"Yes","No"))</f>
        <v/>
      </c>
      <c r="H515" s="15"/>
      <c r="I515" s="15"/>
      <c r="J515" s="15"/>
      <c r="K515" s="15"/>
    </row>
    <row r="516" customFormat="false" ht="15" hidden="false" customHeight="false" outlineLevel="0" collapsed="false">
      <c r="A516" s="15"/>
      <c r="B516" s="15"/>
      <c r="C516" s="15"/>
      <c r="D516" s="15"/>
      <c r="E516" s="15"/>
      <c r="F516" s="15"/>
      <c r="G516" s="16" t="str">
        <f aca="false">IF(OR(E516="",F516=""),"",IF(E516=F516,"Yes","No"))</f>
        <v/>
      </c>
      <c r="H516" s="15"/>
      <c r="I516" s="15"/>
      <c r="J516" s="15"/>
      <c r="K516" s="15"/>
    </row>
    <row r="517" customFormat="false" ht="15" hidden="false" customHeight="false" outlineLevel="0" collapsed="false">
      <c r="A517" s="15"/>
      <c r="B517" s="15"/>
      <c r="C517" s="15"/>
      <c r="D517" s="15"/>
      <c r="E517" s="15"/>
      <c r="F517" s="15"/>
      <c r="G517" s="16" t="str">
        <f aca="false">IF(OR(E517="",F517=""),"",IF(E517=F517,"Yes","No"))</f>
        <v/>
      </c>
      <c r="H517" s="15"/>
      <c r="I517" s="15"/>
      <c r="J517" s="15"/>
      <c r="K517" s="15"/>
    </row>
    <row r="518" customFormat="false" ht="15" hidden="false" customHeight="false" outlineLevel="0" collapsed="false">
      <c r="A518" s="15"/>
      <c r="B518" s="15"/>
      <c r="C518" s="15"/>
      <c r="D518" s="15"/>
      <c r="E518" s="15"/>
      <c r="F518" s="15"/>
      <c r="G518" s="16" t="str">
        <f aca="false">IF(OR(E518="",F518=""),"",IF(E518=F518,"Yes","No"))</f>
        <v/>
      </c>
      <c r="H518" s="15"/>
      <c r="I518" s="15"/>
      <c r="J518" s="15"/>
      <c r="K518" s="15"/>
    </row>
    <row r="519" customFormat="false" ht="15" hidden="false" customHeight="false" outlineLevel="0" collapsed="false">
      <c r="A519" s="15"/>
      <c r="B519" s="15"/>
      <c r="C519" s="15"/>
      <c r="D519" s="15"/>
      <c r="E519" s="15"/>
      <c r="F519" s="15"/>
      <c r="G519" s="16" t="str">
        <f aca="false">IF(OR(E519="",F519=""),"",IF(E519=F519,"Yes","No"))</f>
        <v/>
      </c>
      <c r="H519" s="15"/>
      <c r="I519" s="15"/>
      <c r="J519" s="15"/>
      <c r="K519" s="15"/>
    </row>
    <row r="520" customFormat="false" ht="15" hidden="false" customHeight="false" outlineLevel="0" collapsed="false">
      <c r="A520" s="15"/>
      <c r="B520" s="15"/>
      <c r="C520" s="15"/>
      <c r="D520" s="15"/>
      <c r="E520" s="15"/>
      <c r="F520" s="15"/>
      <c r="G520" s="16" t="str">
        <f aca="false">IF(OR(E520="",F520=""),"",IF(E520=F520,"Yes","No"))</f>
        <v/>
      </c>
      <c r="H520" s="15"/>
      <c r="I520" s="15"/>
      <c r="J520" s="15"/>
      <c r="K520" s="15"/>
    </row>
    <row r="521" customFormat="false" ht="15" hidden="false" customHeight="false" outlineLevel="0" collapsed="false">
      <c r="A521" s="15"/>
      <c r="B521" s="15"/>
      <c r="C521" s="15"/>
      <c r="D521" s="15"/>
      <c r="E521" s="15"/>
      <c r="F521" s="15"/>
      <c r="G521" s="16" t="str">
        <f aca="false">IF(OR(E521="",F521=""),"",IF(E521=F521,"Yes","No"))</f>
        <v/>
      </c>
      <c r="H521" s="15"/>
      <c r="I521" s="15"/>
      <c r="J521" s="15"/>
      <c r="K521" s="15"/>
    </row>
    <row r="522" customFormat="false" ht="15" hidden="false" customHeight="false" outlineLevel="0" collapsed="false">
      <c r="A522" s="15"/>
      <c r="B522" s="15"/>
      <c r="C522" s="15"/>
      <c r="D522" s="15"/>
      <c r="E522" s="15"/>
      <c r="F522" s="15"/>
      <c r="G522" s="16" t="str">
        <f aca="false">IF(OR(E522="",F522=""),"",IF(E522=F522,"Yes","No"))</f>
        <v/>
      </c>
      <c r="H522" s="15"/>
      <c r="I522" s="15"/>
      <c r="J522" s="15"/>
      <c r="K522" s="15"/>
    </row>
    <row r="523" customFormat="false" ht="15" hidden="false" customHeight="false" outlineLevel="0" collapsed="false">
      <c r="A523" s="15"/>
      <c r="B523" s="15"/>
      <c r="C523" s="15"/>
      <c r="D523" s="15"/>
      <c r="E523" s="15"/>
      <c r="F523" s="15"/>
      <c r="G523" s="16" t="str">
        <f aca="false">IF(OR(E523="",F523=""),"",IF(E523=F523,"Yes","No"))</f>
        <v/>
      </c>
      <c r="H523" s="15"/>
      <c r="I523" s="15"/>
      <c r="J523" s="15"/>
      <c r="K523" s="15"/>
    </row>
    <row r="524" customFormat="false" ht="15" hidden="false" customHeight="false" outlineLevel="0" collapsed="false">
      <c r="A524" s="15"/>
      <c r="B524" s="15"/>
      <c r="C524" s="15"/>
      <c r="D524" s="15"/>
      <c r="E524" s="15"/>
      <c r="F524" s="15"/>
      <c r="G524" s="16" t="str">
        <f aca="false">IF(OR(E524="",F524=""),"",IF(E524=F524,"Yes","No"))</f>
        <v/>
      </c>
      <c r="H524" s="15"/>
      <c r="I524" s="15"/>
      <c r="J524" s="15"/>
      <c r="K524" s="15"/>
    </row>
    <row r="525" customFormat="false" ht="15" hidden="false" customHeight="false" outlineLevel="0" collapsed="false">
      <c r="A525" s="15"/>
      <c r="B525" s="15"/>
      <c r="C525" s="15"/>
      <c r="D525" s="15"/>
      <c r="E525" s="15"/>
      <c r="F525" s="15"/>
      <c r="G525" s="16" t="str">
        <f aca="false">IF(OR(E525="",F525=""),"",IF(E525=F525,"Yes","No"))</f>
        <v/>
      </c>
      <c r="H525" s="15"/>
      <c r="I525" s="15"/>
      <c r="J525" s="15"/>
      <c r="K525" s="15"/>
    </row>
    <row r="526" customFormat="false" ht="15" hidden="false" customHeight="false" outlineLevel="0" collapsed="false">
      <c r="A526" s="15"/>
      <c r="B526" s="15"/>
      <c r="C526" s="15"/>
      <c r="D526" s="15"/>
      <c r="E526" s="15"/>
      <c r="F526" s="15"/>
      <c r="G526" s="16" t="str">
        <f aca="false">IF(OR(E526="",F526=""),"",IF(E526=F526,"Yes","No"))</f>
        <v/>
      </c>
      <c r="H526" s="15"/>
      <c r="I526" s="15"/>
      <c r="J526" s="15"/>
      <c r="K526" s="15"/>
    </row>
    <row r="527" customFormat="false" ht="15" hidden="false" customHeight="false" outlineLevel="0" collapsed="false">
      <c r="A527" s="15"/>
      <c r="B527" s="15"/>
      <c r="C527" s="15"/>
      <c r="D527" s="15"/>
      <c r="E527" s="15"/>
      <c r="F527" s="15"/>
      <c r="G527" s="16" t="str">
        <f aca="false">IF(OR(E527="",F527=""),"",IF(E527=F527,"Yes","No"))</f>
        <v/>
      </c>
      <c r="H527" s="15"/>
      <c r="I527" s="15"/>
      <c r="J527" s="15"/>
      <c r="K527" s="15"/>
    </row>
    <row r="528" customFormat="false" ht="15" hidden="false" customHeight="false" outlineLevel="0" collapsed="false">
      <c r="A528" s="15"/>
      <c r="B528" s="15"/>
      <c r="C528" s="15"/>
      <c r="D528" s="15"/>
      <c r="E528" s="15"/>
      <c r="F528" s="15"/>
      <c r="G528" s="16" t="str">
        <f aca="false">IF(OR(E528="",F528=""),"",IF(E528=F528,"Yes","No"))</f>
        <v/>
      </c>
      <c r="H528" s="15"/>
      <c r="I528" s="15"/>
      <c r="J528" s="15"/>
      <c r="K528" s="15"/>
    </row>
    <row r="529" customFormat="false" ht="15" hidden="false" customHeight="false" outlineLevel="0" collapsed="false">
      <c r="A529" s="15"/>
      <c r="B529" s="15"/>
      <c r="C529" s="15"/>
      <c r="D529" s="15"/>
      <c r="E529" s="15"/>
      <c r="F529" s="15"/>
      <c r="G529" s="16" t="str">
        <f aca="false">IF(OR(E529="",F529=""),"",IF(E529=F529,"Yes","No"))</f>
        <v/>
      </c>
      <c r="H529" s="15"/>
      <c r="I529" s="15"/>
      <c r="J529" s="15"/>
      <c r="K529" s="15"/>
    </row>
    <row r="530" customFormat="false" ht="15" hidden="false" customHeight="false" outlineLevel="0" collapsed="false">
      <c r="A530" s="15"/>
      <c r="B530" s="15"/>
      <c r="C530" s="15"/>
      <c r="D530" s="15"/>
      <c r="E530" s="15"/>
      <c r="F530" s="15"/>
      <c r="G530" s="16" t="str">
        <f aca="false">IF(OR(E530="",F530=""),"",IF(E530=F530,"Yes","No"))</f>
        <v/>
      </c>
      <c r="H530" s="15"/>
      <c r="I530" s="15"/>
      <c r="J530" s="15"/>
      <c r="K530" s="15"/>
    </row>
    <row r="531" customFormat="false" ht="15" hidden="false" customHeight="false" outlineLevel="0" collapsed="false">
      <c r="A531" s="15"/>
      <c r="B531" s="15"/>
      <c r="C531" s="15"/>
      <c r="D531" s="15"/>
      <c r="E531" s="15"/>
      <c r="F531" s="15"/>
      <c r="G531" s="16" t="str">
        <f aca="false">IF(OR(E531="",F531=""),"",IF(E531=F531,"Yes","No"))</f>
        <v/>
      </c>
      <c r="H531" s="15"/>
      <c r="I531" s="15"/>
      <c r="J531" s="15"/>
      <c r="K531" s="15"/>
    </row>
    <row r="532" customFormat="false" ht="15" hidden="false" customHeight="false" outlineLevel="0" collapsed="false">
      <c r="A532" s="15"/>
      <c r="B532" s="15"/>
      <c r="C532" s="15"/>
      <c r="D532" s="15"/>
      <c r="E532" s="15"/>
      <c r="F532" s="15"/>
      <c r="G532" s="16" t="str">
        <f aca="false">IF(OR(E532="",F532=""),"",IF(E532=F532,"Yes","No"))</f>
        <v/>
      </c>
      <c r="H532" s="15"/>
      <c r="I532" s="15"/>
      <c r="J532" s="15"/>
      <c r="K532" s="15"/>
    </row>
    <row r="533" customFormat="false" ht="15" hidden="false" customHeight="false" outlineLevel="0" collapsed="false">
      <c r="A533" s="15"/>
      <c r="B533" s="15"/>
      <c r="C533" s="15"/>
      <c r="D533" s="15"/>
      <c r="E533" s="15"/>
      <c r="F533" s="15"/>
      <c r="G533" s="16" t="str">
        <f aca="false">IF(OR(E533="",F533=""),"",IF(E533=F533,"Yes","No"))</f>
        <v/>
      </c>
      <c r="H533" s="15"/>
      <c r="I533" s="15"/>
      <c r="J533" s="15"/>
      <c r="K533" s="15"/>
    </row>
    <row r="534" customFormat="false" ht="15" hidden="false" customHeight="false" outlineLevel="0" collapsed="false">
      <c r="A534" s="15"/>
      <c r="B534" s="15"/>
      <c r="C534" s="15"/>
      <c r="D534" s="15"/>
      <c r="E534" s="15"/>
      <c r="F534" s="15"/>
      <c r="G534" s="16" t="str">
        <f aca="false">IF(OR(E534="",F534=""),"",IF(E534=F534,"Yes","No"))</f>
        <v/>
      </c>
      <c r="H534" s="15"/>
      <c r="I534" s="15"/>
      <c r="J534" s="15"/>
      <c r="K534" s="15"/>
    </row>
    <row r="535" customFormat="false" ht="15" hidden="false" customHeight="false" outlineLevel="0" collapsed="false">
      <c r="A535" s="15"/>
      <c r="B535" s="15"/>
      <c r="C535" s="15"/>
      <c r="D535" s="15"/>
      <c r="E535" s="15"/>
      <c r="F535" s="15"/>
      <c r="G535" s="16" t="str">
        <f aca="false">IF(OR(E535="",F535=""),"",IF(E535=F535,"Yes","No"))</f>
        <v/>
      </c>
      <c r="H535" s="15"/>
      <c r="I535" s="15"/>
      <c r="J535" s="15"/>
      <c r="K535" s="15"/>
    </row>
    <row r="536" customFormat="false" ht="15" hidden="false" customHeight="false" outlineLevel="0" collapsed="false">
      <c r="A536" s="15"/>
      <c r="B536" s="15"/>
      <c r="C536" s="15"/>
      <c r="D536" s="15"/>
      <c r="E536" s="15"/>
      <c r="F536" s="15"/>
      <c r="G536" s="16" t="str">
        <f aca="false">IF(OR(E536="",F536=""),"",IF(E536=F536,"Yes","No"))</f>
        <v/>
      </c>
      <c r="H536" s="15"/>
      <c r="I536" s="15"/>
      <c r="J536" s="15"/>
      <c r="K536" s="15"/>
    </row>
    <row r="537" customFormat="false" ht="15" hidden="false" customHeight="false" outlineLevel="0" collapsed="false">
      <c r="A537" s="15"/>
      <c r="B537" s="15"/>
      <c r="C537" s="15"/>
      <c r="D537" s="15"/>
      <c r="E537" s="15"/>
      <c r="F537" s="15"/>
      <c r="G537" s="16" t="str">
        <f aca="false">IF(OR(E537="",F537=""),"",IF(E537=F537,"Yes","No"))</f>
        <v/>
      </c>
      <c r="H537" s="15"/>
      <c r="I537" s="15"/>
      <c r="J537" s="15"/>
      <c r="K537" s="15"/>
    </row>
    <row r="538" customFormat="false" ht="15" hidden="false" customHeight="false" outlineLevel="0" collapsed="false">
      <c r="A538" s="15"/>
      <c r="B538" s="15"/>
      <c r="C538" s="15"/>
      <c r="D538" s="15"/>
      <c r="E538" s="15"/>
      <c r="F538" s="15"/>
      <c r="G538" s="16" t="str">
        <f aca="false">IF(OR(E538="",F538=""),"",IF(E538=F538,"Yes","No"))</f>
        <v/>
      </c>
      <c r="H538" s="15"/>
      <c r="I538" s="15"/>
      <c r="J538" s="15"/>
      <c r="K538" s="15"/>
    </row>
    <row r="539" customFormat="false" ht="15" hidden="false" customHeight="false" outlineLevel="0" collapsed="false">
      <c r="A539" s="15"/>
      <c r="B539" s="15"/>
      <c r="C539" s="15"/>
      <c r="D539" s="15"/>
      <c r="E539" s="15"/>
      <c r="F539" s="15"/>
      <c r="G539" s="16" t="str">
        <f aca="false">IF(OR(E539="",F539=""),"",IF(E539=F539,"Yes","No"))</f>
        <v/>
      </c>
      <c r="H539" s="15"/>
      <c r="I539" s="15"/>
      <c r="J539" s="15"/>
      <c r="K539" s="15"/>
    </row>
    <row r="540" customFormat="false" ht="15" hidden="false" customHeight="false" outlineLevel="0" collapsed="false">
      <c r="A540" s="15"/>
      <c r="B540" s="15"/>
      <c r="C540" s="15"/>
      <c r="D540" s="15"/>
      <c r="E540" s="15"/>
      <c r="F540" s="15"/>
      <c r="G540" s="16" t="str">
        <f aca="false">IF(OR(E540="",F540=""),"",IF(E540=F540,"Yes","No"))</f>
        <v/>
      </c>
      <c r="H540" s="15"/>
      <c r="I540" s="15"/>
      <c r="J540" s="15"/>
      <c r="K540" s="15"/>
    </row>
    <row r="541" customFormat="false" ht="15" hidden="false" customHeight="false" outlineLevel="0" collapsed="false">
      <c r="A541" s="15"/>
      <c r="B541" s="15"/>
      <c r="C541" s="15"/>
      <c r="D541" s="15"/>
      <c r="E541" s="15"/>
      <c r="F541" s="15"/>
      <c r="G541" s="16" t="str">
        <f aca="false">IF(OR(E541="",F541=""),"",IF(E541=F541,"Yes","No"))</f>
        <v/>
      </c>
      <c r="H541" s="15"/>
      <c r="I541" s="15"/>
      <c r="J541" s="15"/>
      <c r="K541" s="15"/>
    </row>
    <row r="542" customFormat="false" ht="15" hidden="false" customHeight="false" outlineLevel="0" collapsed="false">
      <c r="A542" s="15"/>
      <c r="B542" s="15"/>
      <c r="C542" s="15"/>
      <c r="D542" s="15"/>
      <c r="E542" s="15"/>
      <c r="F542" s="15"/>
      <c r="G542" s="16" t="str">
        <f aca="false">IF(OR(E542="",F542=""),"",IF(E542=F542,"Yes","No"))</f>
        <v/>
      </c>
      <c r="H542" s="15"/>
      <c r="I542" s="15"/>
      <c r="J542" s="15"/>
      <c r="K542" s="15"/>
    </row>
    <row r="543" customFormat="false" ht="15" hidden="false" customHeight="false" outlineLevel="0" collapsed="false">
      <c r="A543" s="15"/>
      <c r="B543" s="15"/>
      <c r="C543" s="15"/>
      <c r="D543" s="15"/>
      <c r="E543" s="15"/>
      <c r="F543" s="15"/>
      <c r="G543" s="16" t="str">
        <f aca="false">IF(OR(E543="",F543=""),"",IF(E543=F543,"Yes","No"))</f>
        <v/>
      </c>
      <c r="H543" s="15"/>
      <c r="I543" s="15"/>
      <c r="J543" s="15"/>
      <c r="K543" s="15"/>
    </row>
    <row r="544" customFormat="false" ht="15" hidden="false" customHeight="false" outlineLevel="0" collapsed="false">
      <c r="A544" s="15"/>
      <c r="B544" s="15"/>
      <c r="C544" s="15"/>
      <c r="D544" s="15"/>
      <c r="E544" s="15"/>
      <c r="F544" s="15"/>
      <c r="G544" s="16" t="str">
        <f aca="false">IF(OR(E544="",F544=""),"",IF(E544=F544,"Yes","No"))</f>
        <v/>
      </c>
      <c r="H544" s="15"/>
      <c r="I544" s="15"/>
      <c r="J544" s="15"/>
      <c r="K544" s="15"/>
    </row>
    <row r="545" customFormat="false" ht="15" hidden="false" customHeight="false" outlineLevel="0" collapsed="false">
      <c r="A545" s="15"/>
      <c r="B545" s="15"/>
      <c r="C545" s="15"/>
      <c r="D545" s="15"/>
      <c r="E545" s="15"/>
      <c r="F545" s="15"/>
      <c r="G545" s="16" t="str">
        <f aca="false">IF(OR(E545="",F545=""),"",IF(E545=F545,"Yes","No"))</f>
        <v/>
      </c>
      <c r="H545" s="15"/>
      <c r="I545" s="15"/>
      <c r="J545" s="15"/>
      <c r="K545" s="15"/>
    </row>
    <row r="546" customFormat="false" ht="15" hidden="false" customHeight="false" outlineLevel="0" collapsed="false">
      <c r="A546" s="15"/>
      <c r="B546" s="15"/>
      <c r="C546" s="15"/>
      <c r="D546" s="15"/>
      <c r="E546" s="15"/>
      <c r="F546" s="15"/>
      <c r="G546" s="16" t="str">
        <f aca="false">IF(OR(E546="",F546=""),"",IF(E546=F546,"Yes","No"))</f>
        <v/>
      </c>
      <c r="H546" s="15"/>
      <c r="I546" s="15"/>
      <c r="J546" s="15"/>
      <c r="K546" s="15"/>
    </row>
    <row r="547" customFormat="false" ht="15" hidden="false" customHeight="false" outlineLevel="0" collapsed="false">
      <c r="A547" s="15"/>
      <c r="B547" s="15"/>
      <c r="C547" s="15"/>
      <c r="D547" s="15"/>
      <c r="E547" s="15"/>
      <c r="F547" s="15"/>
      <c r="G547" s="16" t="str">
        <f aca="false">IF(OR(E547="",F547=""),"",IF(E547=F547,"Yes","No"))</f>
        <v/>
      </c>
      <c r="H547" s="15"/>
      <c r="I547" s="15"/>
      <c r="J547" s="15"/>
      <c r="K547" s="15"/>
    </row>
    <row r="548" customFormat="false" ht="15" hidden="false" customHeight="false" outlineLevel="0" collapsed="false">
      <c r="A548" s="15"/>
      <c r="B548" s="15"/>
      <c r="C548" s="15"/>
      <c r="D548" s="15"/>
      <c r="E548" s="15"/>
      <c r="F548" s="15"/>
      <c r="G548" s="16" t="str">
        <f aca="false">IF(OR(E548="",F548=""),"",IF(E548=F548,"Yes","No"))</f>
        <v/>
      </c>
      <c r="H548" s="15"/>
      <c r="I548" s="15"/>
      <c r="J548" s="15"/>
      <c r="K548" s="15"/>
    </row>
    <row r="549" customFormat="false" ht="15" hidden="false" customHeight="false" outlineLevel="0" collapsed="false">
      <c r="A549" s="15"/>
      <c r="B549" s="15"/>
      <c r="C549" s="15"/>
      <c r="D549" s="15"/>
      <c r="E549" s="15"/>
      <c r="F549" s="15"/>
      <c r="G549" s="16" t="str">
        <f aca="false">IF(OR(E549="",F549=""),"",IF(E549=F549,"Yes","No"))</f>
        <v/>
      </c>
      <c r="H549" s="15"/>
      <c r="I549" s="15"/>
      <c r="J549" s="15"/>
      <c r="K549" s="15"/>
    </row>
    <row r="550" customFormat="false" ht="15" hidden="false" customHeight="false" outlineLevel="0" collapsed="false">
      <c r="A550" s="15"/>
      <c r="B550" s="15"/>
      <c r="C550" s="15"/>
      <c r="D550" s="15"/>
      <c r="E550" s="15"/>
      <c r="F550" s="15"/>
      <c r="G550" s="16" t="str">
        <f aca="false">IF(OR(E550="",F550=""),"",IF(E550=F550,"Yes","No"))</f>
        <v/>
      </c>
      <c r="H550" s="15"/>
      <c r="I550" s="15"/>
      <c r="J550" s="15"/>
      <c r="K550" s="15"/>
    </row>
    <row r="551" customFormat="false" ht="15" hidden="false" customHeight="false" outlineLevel="0" collapsed="false">
      <c r="A551" s="15"/>
      <c r="B551" s="15"/>
      <c r="C551" s="15"/>
      <c r="D551" s="15"/>
      <c r="E551" s="15"/>
      <c r="F551" s="15"/>
      <c r="G551" s="16" t="str">
        <f aca="false">IF(OR(E551="",F551=""),"",IF(E551=F551,"Yes","No"))</f>
        <v/>
      </c>
      <c r="H551" s="15"/>
      <c r="I551" s="15"/>
      <c r="J551" s="15"/>
      <c r="K551" s="15"/>
    </row>
    <row r="552" customFormat="false" ht="15" hidden="false" customHeight="false" outlineLevel="0" collapsed="false">
      <c r="A552" s="15"/>
      <c r="B552" s="15"/>
      <c r="C552" s="15"/>
      <c r="D552" s="15"/>
      <c r="E552" s="15"/>
      <c r="F552" s="15"/>
      <c r="G552" s="16" t="str">
        <f aca="false">IF(OR(E552="",F552=""),"",IF(E552=F552,"Yes","No"))</f>
        <v/>
      </c>
      <c r="H552" s="15"/>
      <c r="I552" s="15"/>
      <c r="J552" s="15"/>
      <c r="K552" s="15"/>
    </row>
    <row r="553" customFormat="false" ht="15" hidden="false" customHeight="false" outlineLevel="0" collapsed="false">
      <c r="A553" s="15"/>
      <c r="B553" s="15"/>
      <c r="C553" s="15"/>
      <c r="D553" s="15"/>
      <c r="E553" s="15"/>
      <c r="F553" s="15"/>
      <c r="G553" s="16" t="str">
        <f aca="false">IF(OR(E553="",F553=""),"",IF(E553=F553,"Yes","No"))</f>
        <v/>
      </c>
      <c r="H553" s="15"/>
      <c r="I553" s="15"/>
      <c r="J553" s="15"/>
      <c r="K553" s="15"/>
    </row>
    <row r="554" customFormat="false" ht="15" hidden="false" customHeight="false" outlineLevel="0" collapsed="false">
      <c r="A554" s="15"/>
      <c r="B554" s="15"/>
      <c r="C554" s="15"/>
      <c r="D554" s="15"/>
      <c r="E554" s="15"/>
      <c r="F554" s="15"/>
      <c r="G554" s="16" t="str">
        <f aca="false">IF(OR(E554="",F554=""),"",IF(E554=F554,"Yes","No"))</f>
        <v/>
      </c>
      <c r="H554" s="15"/>
      <c r="I554" s="15"/>
      <c r="J554" s="15"/>
      <c r="K554" s="15"/>
    </row>
    <row r="555" customFormat="false" ht="15" hidden="false" customHeight="false" outlineLevel="0" collapsed="false">
      <c r="A555" s="15"/>
      <c r="B555" s="15"/>
      <c r="C555" s="15"/>
      <c r="D555" s="15"/>
      <c r="E555" s="15"/>
      <c r="F555" s="15"/>
      <c r="G555" s="16" t="str">
        <f aca="false">IF(OR(E555="",F555=""),"",IF(E555=F555,"Yes","No"))</f>
        <v/>
      </c>
      <c r="H555" s="15"/>
      <c r="I555" s="15"/>
      <c r="J555" s="15"/>
      <c r="K555" s="15"/>
    </row>
    <row r="556" customFormat="false" ht="15" hidden="false" customHeight="false" outlineLevel="0" collapsed="false">
      <c r="A556" s="15"/>
      <c r="B556" s="15"/>
      <c r="C556" s="15"/>
      <c r="D556" s="15"/>
      <c r="E556" s="15"/>
      <c r="F556" s="15"/>
      <c r="G556" s="16" t="str">
        <f aca="false">IF(OR(E556="",F556=""),"",IF(E556=F556,"Yes","No"))</f>
        <v/>
      </c>
      <c r="H556" s="15"/>
      <c r="I556" s="15"/>
      <c r="J556" s="15"/>
      <c r="K556" s="15"/>
    </row>
    <row r="557" customFormat="false" ht="15" hidden="false" customHeight="false" outlineLevel="0" collapsed="false">
      <c r="A557" s="15"/>
      <c r="B557" s="15"/>
      <c r="C557" s="15"/>
      <c r="D557" s="15"/>
      <c r="E557" s="15"/>
      <c r="F557" s="15"/>
      <c r="G557" s="16" t="str">
        <f aca="false">IF(OR(E557="",F557=""),"",IF(E557=F557,"Yes","No"))</f>
        <v/>
      </c>
      <c r="H557" s="15"/>
      <c r="I557" s="15"/>
      <c r="J557" s="15"/>
      <c r="K557" s="15"/>
    </row>
    <row r="558" customFormat="false" ht="15" hidden="false" customHeight="false" outlineLevel="0" collapsed="false">
      <c r="A558" s="15"/>
      <c r="B558" s="15"/>
      <c r="C558" s="15"/>
      <c r="D558" s="15"/>
      <c r="E558" s="15"/>
      <c r="F558" s="15"/>
      <c r="G558" s="16" t="str">
        <f aca="false">IF(OR(E558="",F558=""),"",IF(E558=F558,"Yes","No"))</f>
        <v/>
      </c>
      <c r="H558" s="15"/>
      <c r="I558" s="15"/>
      <c r="J558" s="15"/>
      <c r="K558" s="15"/>
    </row>
    <row r="559" customFormat="false" ht="15" hidden="false" customHeight="false" outlineLevel="0" collapsed="false">
      <c r="A559" s="15"/>
      <c r="B559" s="15"/>
      <c r="C559" s="15"/>
      <c r="D559" s="15"/>
      <c r="E559" s="15"/>
      <c r="F559" s="15"/>
      <c r="G559" s="16" t="str">
        <f aca="false">IF(OR(E559="",F559=""),"",IF(E559=F559,"Yes","No"))</f>
        <v/>
      </c>
      <c r="H559" s="15"/>
      <c r="I559" s="15"/>
      <c r="J559" s="15"/>
      <c r="K559" s="15"/>
    </row>
    <row r="560" customFormat="false" ht="15" hidden="false" customHeight="false" outlineLevel="0" collapsed="false">
      <c r="A560" s="15"/>
      <c r="B560" s="15"/>
      <c r="C560" s="15"/>
      <c r="D560" s="15"/>
      <c r="E560" s="15"/>
      <c r="F560" s="15"/>
      <c r="G560" s="16" t="str">
        <f aca="false">IF(OR(E560="",F560=""),"",IF(E560=F560,"Yes","No"))</f>
        <v/>
      </c>
      <c r="H560" s="15"/>
      <c r="I560" s="15"/>
      <c r="J560" s="15"/>
      <c r="K560" s="15"/>
    </row>
    <row r="561" customFormat="false" ht="15" hidden="false" customHeight="false" outlineLevel="0" collapsed="false">
      <c r="A561" s="15"/>
      <c r="B561" s="15"/>
      <c r="C561" s="15"/>
      <c r="D561" s="15"/>
      <c r="E561" s="15"/>
      <c r="F561" s="15"/>
      <c r="G561" s="16" t="str">
        <f aca="false">IF(OR(E561="",F561=""),"",IF(E561=F561,"Yes","No"))</f>
        <v/>
      </c>
      <c r="H561" s="15"/>
      <c r="I561" s="15"/>
      <c r="J561" s="15"/>
      <c r="K561" s="15"/>
    </row>
    <row r="562" customFormat="false" ht="15" hidden="false" customHeight="false" outlineLevel="0" collapsed="false">
      <c r="A562" s="15"/>
      <c r="B562" s="15"/>
      <c r="C562" s="15"/>
      <c r="D562" s="15"/>
      <c r="E562" s="15"/>
      <c r="F562" s="15"/>
      <c r="G562" s="16" t="str">
        <f aca="false">IF(OR(E562="",F562=""),"",IF(E562=F562,"Yes","No"))</f>
        <v/>
      </c>
      <c r="H562" s="15"/>
      <c r="I562" s="15"/>
      <c r="J562" s="15"/>
      <c r="K562" s="15"/>
    </row>
    <row r="563" customFormat="false" ht="15" hidden="false" customHeight="false" outlineLevel="0" collapsed="false">
      <c r="A563" s="15"/>
      <c r="B563" s="15"/>
      <c r="C563" s="15"/>
      <c r="D563" s="15"/>
      <c r="E563" s="15"/>
      <c r="F563" s="15"/>
      <c r="G563" s="16" t="str">
        <f aca="false">IF(OR(E563="",F563=""),"",IF(E563=F563,"Yes","No"))</f>
        <v/>
      </c>
      <c r="H563" s="15"/>
      <c r="I563" s="15"/>
      <c r="J563" s="15"/>
      <c r="K563" s="15"/>
    </row>
    <row r="564" customFormat="false" ht="15" hidden="false" customHeight="false" outlineLevel="0" collapsed="false">
      <c r="A564" s="15"/>
      <c r="B564" s="15"/>
      <c r="C564" s="15"/>
      <c r="D564" s="15"/>
      <c r="E564" s="15"/>
      <c r="F564" s="15"/>
      <c r="G564" s="16" t="str">
        <f aca="false">IF(OR(E564="",F564=""),"",IF(E564=F564,"Yes","No"))</f>
        <v/>
      </c>
      <c r="H564" s="15"/>
      <c r="I564" s="15"/>
      <c r="J564" s="15"/>
      <c r="K564" s="15"/>
    </row>
    <row r="565" customFormat="false" ht="15" hidden="false" customHeight="false" outlineLevel="0" collapsed="false">
      <c r="A565" s="15"/>
      <c r="B565" s="15"/>
      <c r="C565" s="15"/>
      <c r="D565" s="15"/>
      <c r="E565" s="15"/>
      <c r="F565" s="15"/>
      <c r="G565" s="16" t="str">
        <f aca="false">IF(OR(E565="",F565=""),"",IF(E565=F565,"Yes","No"))</f>
        <v/>
      </c>
      <c r="H565" s="15"/>
      <c r="I565" s="15"/>
      <c r="J565" s="15"/>
      <c r="K565" s="15"/>
    </row>
    <row r="566" customFormat="false" ht="15" hidden="false" customHeight="false" outlineLevel="0" collapsed="false">
      <c r="A566" s="15"/>
      <c r="B566" s="15"/>
      <c r="C566" s="15"/>
      <c r="D566" s="15"/>
      <c r="E566" s="15"/>
      <c r="F566" s="15"/>
      <c r="G566" s="16" t="str">
        <f aca="false">IF(OR(E566="",F566=""),"",IF(E566=F566,"Yes","No"))</f>
        <v/>
      </c>
      <c r="H566" s="15"/>
      <c r="I566" s="15"/>
      <c r="J566" s="15"/>
      <c r="K566" s="15"/>
    </row>
    <row r="567" customFormat="false" ht="15" hidden="false" customHeight="false" outlineLevel="0" collapsed="false">
      <c r="A567" s="15"/>
      <c r="B567" s="15"/>
      <c r="C567" s="15"/>
      <c r="D567" s="15"/>
      <c r="E567" s="15"/>
      <c r="F567" s="15"/>
      <c r="G567" s="16" t="str">
        <f aca="false">IF(OR(E567="",F567=""),"",IF(E567=F567,"Yes","No"))</f>
        <v/>
      </c>
      <c r="H567" s="15"/>
      <c r="I567" s="15"/>
      <c r="J567" s="15"/>
      <c r="K567" s="15"/>
    </row>
    <row r="568" customFormat="false" ht="15" hidden="false" customHeight="false" outlineLevel="0" collapsed="false">
      <c r="A568" s="15"/>
      <c r="B568" s="15"/>
      <c r="C568" s="15"/>
      <c r="D568" s="15"/>
      <c r="E568" s="15"/>
      <c r="F568" s="15"/>
      <c r="G568" s="16" t="str">
        <f aca="false">IF(OR(E568="",F568=""),"",IF(E568=F568,"Yes","No"))</f>
        <v/>
      </c>
      <c r="H568" s="15"/>
      <c r="I568" s="15"/>
      <c r="J568" s="15"/>
      <c r="K568" s="15"/>
    </row>
    <row r="569" customFormat="false" ht="15" hidden="false" customHeight="false" outlineLevel="0" collapsed="false">
      <c r="A569" s="15"/>
      <c r="B569" s="15"/>
      <c r="C569" s="15"/>
      <c r="D569" s="15"/>
      <c r="E569" s="15"/>
      <c r="F569" s="15"/>
      <c r="G569" s="16" t="str">
        <f aca="false">IF(OR(E569="",F569=""),"",IF(E569=F569,"Yes","No"))</f>
        <v/>
      </c>
      <c r="H569" s="15"/>
      <c r="I569" s="15"/>
      <c r="J569" s="15"/>
      <c r="K569" s="15"/>
    </row>
    <row r="570" customFormat="false" ht="15" hidden="false" customHeight="false" outlineLevel="0" collapsed="false">
      <c r="A570" s="15"/>
      <c r="B570" s="15"/>
      <c r="C570" s="15"/>
      <c r="D570" s="15"/>
      <c r="E570" s="15"/>
      <c r="F570" s="15"/>
      <c r="G570" s="16" t="str">
        <f aca="false">IF(OR(E570="",F570=""),"",IF(E570=F570,"Yes","No"))</f>
        <v/>
      </c>
      <c r="H570" s="15"/>
      <c r="I570" s="15"/>
      <c r="J570" s="15"/>
      <c r="K570" s="15"/>
    </row>
    <row r="571" customFormat="false" ht="15" hidden="false" customHeight="false" outlineLevel="0" collapsed="false">
      <c r="A571" s="15"/>
      <c r="B571" s="15"/>
      <c r="C571" s="15"/>
      <c r="D571" s="15"/>
      <c r="E571" s="15"/>
      <c r="F571" s="15"/>
      <c r="G571" s="16" t="str">
        <f aca="false">IF(OR(E571="",F571=""),"",IF(E571=F571,"Yes","No"))</f>
        <v/>
      </c>
      <c r="H571" s="15"/>
      <c r="I571" s="15"/>
      <c r="J571" s="15"/>
      <c r="K571" s="15"/>
    </row>
    <row r="572" customFormat="false" ht="15" hidden="false" customHeight="false" outlineLevel="0" collapsed="false">
      <c r="A572" s="15"/>
      <c r="B572" s="15"/>
      <c r="C572" s="15"/>
      <c r="D572" s="15"/>
      <c r="E572" s="15"/>
      <c r="F572" s="15"/>
      <c r="G572" s="16" t="str">
        <f aca="false">IF(OR(E572="",F572=""),"",IF(E572=F572,"Yes","No"))</f>
        <v/>
      </c>
      <c r="H572" s="15"/>
      <c r="I572" s="15"/>
      <c r="J572" s="15"/>
      <c r="K572" s="15"/>
    </row>
    <row r="573" customFormat="false" ht="15" hidden="false" customHeight="false" outlineLevel="0" collapsed="false">
      <c r="A573" s="15"/>
      <c r="B573" s="15"/>
      <c r="C573" s="15"/>
      <c r="D573" s="15"/>
      <c r="E573" s="15"/>
      <c r="F573" s="15"/>
      <c r="G573" s="16" t="str">
        <f aca="false">IF(OR(E573="",F573=""),"",IF(E573=F573,"Yes","No"))</f>
        <v/>
      </c>
      <c r="H573" s="15"/>
      <c r="I573" s="15"/>
      <c r="J573" s="15"/>
      <c r="K573" s="15"/>
    </row>
    <row r="574" customFormat="false" ht="15" hidden="false" customHeight="false" outlineLevel="0" collapsed="false">
      <c r="A574" s="15"/>
      <c r="B574" s="15"/>
      <c r="C574" s="15"/>
      <c r="D574" s="15"/>
      <c r="E574" s="15"/>
      <c r="F574" s="15"/>
      <c r="G574" s="16" t="str">
        <f aca="false">IF(OR(E574="",F574=""),"",IF(E574=F574,"Yes","No"))</f>
        <v/>
      </c>
      <c r="H574" s="15"/>
      <c r="I574" s="15"/>
      <c r="J574" s="15"/>
      <c r="K574" s="15"/>
    </row>
    <row r="575" customFormat="false" ht="15" hidden="false" customHeight="false" outlineLevel="0" collapsed="false">
      <c r="A575" s="15"/>
      <c r="B575" s="15"/>
      <c r="C575" s="15"/>
      <c r="D575" s="15"/>
      <c r="E575" s="15"/>
      <c r="F575" s="15"/>
      <c r="G575" s="16" t="str">
        <f aca="false">IF(OR(E575="",F575=""),"",IF(E575=F575,"Yes","No"))</f>
        <v/>
      </c>
      <c r="H575" s="15"/>
      <c r="I575" s="15"/>
      <c r="J575" s="15"/>
      <c r="K575" s="15"/>
    </row>
    <row r="576" customFormat="false" ht="15" hidden="false" customHeight="false" outlineLevel="0" collapsed="false">
      <c r="A576" s="15"/>
      <c r="B576" s="15"/>
      <c r="C576" s="15"/>
      <c r="D576" s="15"/>
      <c r="E576" s="15"/>
      <c r="F576" s="15"/>
      <c r="G576" s="16" t="str">
        <f aca="false">IF(OR(E576="",F576=""),"",IF(E576=F576,"Yes","No"))</f>
        <v/>
      </c>
      <c r="H576" s="15"/>
      <c r="I576" s="15"/>
      <c r="J576" s="15"/>
      <c r="K576" s="15"/>
    </row>
    <row r="577" customFormat="false" ht="15" hidden="false" customHeight="false" outlineLevel="0" collapsed="false">
      <c r="A577" s="15"/>
      <c r="B577" s="15"/>
      <c r="C577" s="15"/>
      <c r="D577" s="15"/>
      <c r="E577" s="15"/>
      <c r="F577" s="15"/>
      <c r="G577" s="16" t="str">
        <f aca="false">IF(OR(E577="",F577=""),"",IF(E577=F577,"Yes","No"))</f>
        <v/>
      </c>
      <c r="H577" s="15"/>
      <c r="I577" s="15"/>
      <c r="J577" s="15"/>
      <c r="K577" s="15"/>
    </row>
    <row r="578" customFormat="false" ht="15" hidden="false" customHeight="false" outlineLevel="0" collapsed="false">
      <c r="A578" s="15"/>
      <c r="B578" s="15"/>
      <c r="C578" s="15"/>
      <c r="D578" s="15"/>
      <c r="E578" s="15"/>
      <c r="F578" s="15"/>
      <c r="G578" s="16" t="str">
        <f aca="false">IF(OR(E578="",F578=""),"",IF(E578=F578,"Yes","No"))</f>
        <v/>
      </c>
      <c r="H578" s="15"/>
      <c r="I578" s="15"/>
      <c r="J578" s="15"/>
      <c r="K578" s="15"/>
    </row>
    <row r="579" customFormat="false" ht="15" hidden="false" customHeight="false" outlineLevel="0" collapsed="false">
      <c r="A579" s="15"/>
      <c r="B579" s="15"/>
      <c r="C579" s="15"/>
      <c r="D579" s="15"/>
      <c r="E579" s="15"/>
      <c r="F579" s="15"/>
      <c r="G579" s="16" t="str">
        <f aca="false">IF(OR(E579="",F579=""),"",IF(E579=F579,"Yes","No"))</f>
        <v/>
      </c>
      <c r="H579" s="15"/>
      <c r="I579" s="15"/>
      <c r="J579" s="15"/>
      <c r="K579" s="15"/>
    </row>
    <row r="580" customFormat="false" ht="15" hidden="false" customHeight="false" outlineLevel="0" collapsed="false">
      <c r="A580" s="15"/>
      <c r="B580" s="15"/>
      <c r="C580" s="15"/>
      <c r="D580" s="15"/>
      <c r="E580" s="15"/>
      <c r="F580" s="15"/>
      <c r="G580" s="16" t="str">
        <f aca="false">IF(OR(E580="",F580=""),"",IF(E580=F580,"Yes","No"))</f>
        <v/>
      </c>
      <c r="H580" s="15"/>
      <c r="I580" s="15"/>
      <c r="J580" s="15"/>
      <c r="K580" s="15"/>
    </row>
    <row r="581" customFormat="false" ht="15" hidden="false" customHeight="false" outlineLevel="0" collapsed="false">
      <c r="A581" s="15"/>
      <c r="B581" s="15"/>
      <c r="C581" s="15"/>
      <c r="D581" s="15"/>
      <c r="E581" s="15"/>
      <c r="F581" s="15"/>
      <c r="G581" s="16" t="str">
        <f aca="false">IF(OR(E581="",F581=""),"",IF(E581=F581,"Yes","No"))</f>
        <v/>
      </c>
      <c r="H581" s="15"/>
      <c r="I581" s="15"/>
      <c r="J581" s="15"/>
      <c r="K581" s="15"/>
    </row>
    <row r="582" customFormat="false" ht="15" hidden="false" customHeight="false" outlineLevel="0" collapsed="false">
      <c r="A582" s="15"/>
      <c r="B582" s="15"/>
      <c r="C582" s="15"/>
      <c r="D582" s="15"/>
      <c r="E582" s="15"/>
      <c r="F582" s="15"/>
      <c r="G582" s="16" t="str">
        <f aca="false">IF(OR(E582="",F582=""),"",IF(E582=F582,"Yes","No"))</f>
        <v/>
      </c>
      <c r="H582" s="15"/>
      <c r="I582" s="15"/>
      <c r="J582" s="15"/>
      <c r="K582" s="15"/>
    </row>
    <row r="583" customFormat="false" ht="15" hidden="false" customHeight="false" outlineLevel="0" collapsed="false">
      <c r="A583" s="15"/>
      <c r="B583" s="15"/>
      <c r="C583" s="15"/>
      <c r="D583" s="15"/>
      <c r="E583" s="15"/>
      <c r="F583" s="15"/>
      <c r="G583" s="16" t="str">
        <f aca="false">IF(OR(E583="",F583=""),"",IF(E583=F583,"Yes","No"))</f>
        <v/>
      </c>
      <c r="H583" s="15"/>
      <c r="I583" s="15"/>
      <c r="J583" s="15"/>
      <c r="K583" s="15"/>
    </row>
    <row r="584" customFormat="false" ht="15" hidden="false" customHeight="false" outlineLevel="0" collapsed="false">
      <c r="A584" s="15"/>
      <c r="B584" s="15"/>
      <c r="C584" s="15"/>
      <c r="D584" s="15"/>
      <c r="E584" s="15"/>
      <c r="F584" s="15"/>
      <c r="G584" s="16" t="str">
        <f aca="false">IF(OR(E584="",F584=""),"",IF(E584=F584,"Yes","No"))</f>
        <v/>
      </c>
      <c r="H584" s="15"/>
      <c r="I584" s="15"/>
      <c r="J584" s="15"/>
      <c r="K584" s="15"/>
    </row>
    <row r="585" customFormat="false" ht="15" hidden="false" customHeight="false" outlineLevel="0" collapsed="false">
      <c r="A585" s="15"/>
      <c r="B585" s="15"/>
      <c r="C585" s="15"/>
      <c r="D585" s="15"/>
      <c r="E585" s="15"/>
      <c r="F585" s="15"/>
      <c r="G585" s="16" t="str">
        <f aca="false">IF(OR(E585="",F585=""),"",IF(E585=F585,"Yes","No"))</f>
        <v/>
      </c>
      <c r="H585" s="15"/>
      <c r="I585" s="15"/>
      <c r="J585" s="15"/>
      <c r="K585" s="15"/>
    </row>
    <row r="586" customFormat="false" ht="15" hidden="false" customHeight="false" outlineLevel="0" collapsed="false">
      <c r="A586" s="15"/>
      <c r="B586" s="15"/>
      <c r="C586" s="15"/>
      <c r="D586" s="15"/>
      <c r="E586" s="15"/>
      <c r="F586" s="15"/>
      <c r="G586" s="16" t="str">
        <f aca="false">IF(OR(E586="",F586=""),"",IF(E586=F586,"Yes","No"))</f>
        <v/>
      </c>
      <c r="H586" s="15"/>
      <c r="I586" s="15"/>
      <c r="J586" s="15"/>
      <c r="K586" s="15"/>
    </row>
    <row r="587" customFormat="false" ht="15" hidden="false" customHeight="false" outlineLevel="0" collapsed="false">
      <c r="A587" s="15"/>
      <c r="B587" s="15"/>
      <c r="C587" s="15"/>
      <c r="D587" s="15"/>
      <c r="E587" s="15"/>
      <c r="F587" s="15"/>
      <c r="G587" s="16" t="str">
        <f aca="false">IF(OR(E587="",F587=""),"",IF(E587=F587,"Yes","No"))</f>
        <v/>
      </c>
      <c r="H587" s="15"/>
      <c r="I587" s="15"/>
      <c r="J587" s="15"/>
      <c r="K587" s="15"/>
    </row>
    <row r="588" customFormat="false" ht="15" hidden="false" customHeight="false" outlineLevel="0" collapsed="false">
      <c r="A588" s="15"/>
      <c r="B588" s="15"/>
      <c r="C588" s="15"/>
      <c r="D588" s="15"/>
      <c r="E588" s="15"/>
      <c r="F588" s="15"/>
      <c r="G588" s="16" t="str">
        <f aca="false">IF(OR(E588="",F588=""),"",IF(E588=F588,"Yes","No"))</f>
        <v/>
      </c>
      <c r="H588" s="15"/>
      <c r="I588" s="15"/>
      <c r="J588" s="15"/>
      <c r="K588" s="15"/>
    </row>
    <row r="589" customFormat="false" ht="15" hidden="false" customHeight="false" outlineLevel="0" collapsed="false">
      <c r="A589" s="15"/>
      <c r="B589" s="15"/>
      <c r="C589" s="15"/>
      <c r="D589" s="15"/>
      <c r="E589" s="15"/>
      <c r="F589" s="15"/>
      <c r="G589" s="16" t="str">
        <f aca="false">IF(OR(E589="",F589=""),"",IF(E589=F589,"Yes","No"))</f>
        <v/>
      </c>
      <c r="H589" s="15"/>
      <c r="I589" s="15"/>
      <c r="J589" s="15"/>
      <c r="K589" s="15"/>
    </row>
    <row r="590" customFormat="false" ht="15" hidden="false" customHeight="false" outlineLevel="0" collapsed="false">
      <c r="A590" s="15"/>
      <c r="B590" s="15"/>
      <c r="C590" s="15"/>
      <c r="D590" s="15"/>
      <c r="E590" s="15"/>
      <c r="F590" s="15"/>
      <c r="G590" s="16" t="str">
        <f aca="false">IF(OR(E590="",F590=""),"",IF(E590=F590,"Yes","No"))</f>
        <v/>
      </c>
      <c r="H590" s="15"/>
      <c r="I590" s="15"/>
      <c r="J590" s="15"/>
      <c r="K590" s="15"/>
    </row>
    <row r="591" customFormat="false" ht="15" hidden="false" customHeight="false" outlineLevel="0" collapsed="false">
      <c r="A591" s="15"/>
      <c r="B591" s="15"/>
      <c r="C591" s="15"/>
      <c r="D591" s="15"/>
      <c r="E591" s="15"/>
      <c r="F591" s="15"/>
      <c r="G591" s="16" t="str">
        <f aca="false">IF(OR(E591="",F591=""),"",IF(E591=F591,"Yes","No"))</f>
        <v/>
      </c>
      <c r="H591" s="15"/>
      <c r="I591" s="15"/>
      <c r="J591" s="15"/>
      <c r="K591" s="15"/>
    </row>
    <row r="592" customFormat="false" ht="15" hidden="false" customHeight="false" outlineLevel="0" collapsed="false">
      <c r="A592" s="15"/>
      <c r="B592" s="15"/>
      <c r="C592" s="15"/>
      <c r="D592" s="15"/>
      <c r="E592" s="15"/>
      <c r="F592" s="15"/>
      <c r="G592" s="16" t="str">
        <f aca="false">IF(OR(E592="",F592=""),"",IF(E592=F592,"Yes","No"))</f>
        <v/>
      </c>
      <c r="H592" s="15"/>
      <c r="I592" s="15"/>
      <c r="J592" s="15"/>
      <c r="K592" s="15"/>
    </row>
    <row r="593" customFormat="false" ht="15" hidden="false" customHeight="false" outlineLevel="0" collapsed="false">
      <c r="A593" s="15"/>
      <c r="B593" s="15"/>
      <c r="C593" s="15"/>
      <c r="D593" s="15"/>
      <c r="E593" s="15"/>
      <c r="F593" s="15"/>
      <c r="G593" s="16" t="str">
        <f aca="false">IF(OR(E593="",F593=""),"",IF(E593=F593,"Yes","No"))</f>
        <v/>
      </c>
      <c r="H593" s="15"/>
      <c r="I593" s="15"/>
      <c r="J593" s="15"/>
      <c r="K593" s="15"/>
    </row>
    <row r="594" customFormat="false" ht="15" hidden="false" customHeight="false" outlineLevel="0" collapsed="false">
      <c r="A594" s="15"/>
      <c r="B594" s="15"/>
      <c r="C594" s="15"/>
      <c r="D594" s="15"/>
      <c r="E594" s="15"/>
      <c r="F594" s="15"/>
      <c r="G594" s="16" t="str">
        <f aca="false">IF(OR(E594="",F594=""),"",IF(E594=F594,"Yes","No"))</f>
        <v/>
      </c>
      <c r="H594" s="15"/>
      <c r="I594" s="15"/>
      <c r="J594" s="15"/>
      <c r="K594" s="15"/>
    </row>
    <row r="595" customFormat="false" ht="15" hidden="false" customHeight="false" outlineLevel="0" collapsed="false">
      <c r="A595" s="15"/>
      <c r="B595" s="15"/>
      <c r="C595" s="15"/>
      <c r="D595" s="15"/>
      <c r="E595" s="15"/>
      <c r="F595" s="15"/>
      <c r="G595" s="16" t="str">
        <f aca="false">IF(OR(E595="",F595=""),"",IF(E595=F595,"Yes","No"))</f>
        <v/>
      </c>
      <c r="H595" s="15"/>
      <c r="I595" s="15"/>
      <c r="J595" s="15"/>
      <c r="K595" s="15"/>
    </row>
    <row r="596" customFormat="false" ht="15" hidden="false" customHeight="false" outlineLevel="0" collapsed="false">
      <c r="A596" s="15"/>
      <c r="B596" s="15"/>
      <c r="C596" s="15"/>
      <c r="D596" s="15"/>
      <c r="E596" s="15"/>
      <c r="F596" s="15"/>
      <c r="G596" s="16" t="str">
        <f aca="false">IF(OR(E596="",F596=""),"",IF(E596=F596,"Yes","No"))</f>
        <v/>
      </c>
      <c r="H596" s="15"/>
      <c r="I596" s="15"/>
      <c r="J596" s="15"/>
      <c r="K596" s="15"/>
    </row>
    <row r="597" customFormat="false" ht="15" hidden="false" customHeight="false" outlineLevel="0" collapsed="false">
      <c r="A597" s="15"/>
      <c r="B597" s="15"/>
      <c r="C597" s="15"/>
      <c r="D597" s="15"/>
      <c r="E597" s="15"/>
      <c r="F597" s="15"/>
      <c r="G597" s="16" t="str">
        <f aca="false">IF(OR(E597="",F597=""),"",IF(E597=F597,"Yes","No"))</f>
        <v/>
      </c>
      <c r="H597" s="15"/>
      <c r="I597" s="15"/>
      <c r="J597" s="15"/>
      <c r="K597" s="15"/>
    </row>
    <row r="598" customFormat="false" ht="15" hidden="false" customHeight="false" outlineLevel="0" collapsed="false">
      <c r="A598" s="15"/>
      <c r="B598" s="15"/>
      <c r="C598" s="15"/>
      <c r="D598" s="15"/>
      <c r="E598" s="15"/>
      <c r="F598" s="15"/>
      <c r="G598" s="16" t="str">
        <f aca="false">IF(OR(E598="",F598=""),"",IF(E598=F598,"Yes","No"))</f>
        <v/>
      </c>
      <c r="H598" s="15"/>
      <c r="I598" s="15"/>
      <c r="J598" s="15"/>
      <c r="K598" s="15"/>
    </row>
    <row r="599" customFormat="false" ht="15" hidden="false" customHeight="false" outlineLevel="0" collapsed="false">
      <c r="A599" s="15"/>
      <c r="B599" s="15"/>
      <c r="C599" s="15"/>
      <c r="D599" s="15"/>
      <c r="E599" s="15"/>
      <c r="F599" s="15"/>
      <c r="G599" s="16" t="str">
        <f aca="false">IF(OR(E599="",F599=""),"",IF(E599=F599,"Yes","No"))</f>
        <v/>
      </c>
      <c r="H599" s="15"/>
      <c r="I599" s="15"/>
      <c r="J599" s="15"/>
      <c r="K599" s="15"/>
    </row>
    <row r="600" customFormat="false" ht="15" hidden="false" customHeight="false" outlineLevel="0" collapsed="false">
      <c r="A600" s="15"/>
      <c r="B600" s="15"/>
      <c r="C600" s="15"/>
      <c r="D600" s="15"/>
      <c r="E600" s="15"/>
      <c r="F600" s="15"/>
      <c r="G600" s="16" t="str">
        <f aca="false">IF(OR(E600="",F600=""),"",IF(E600=F600,"Yes","No"))</f>
        <v/>
      </c>
      <c r="H600" s="15"/>
      <c r="I600" s="15"/>
      <c r="J600" s="15"/>
      <c r="K600" s="15"/>
    </row>
    <row r="601" customFormat="false" ht="15" hidden="false" customHeight="false" outlineLevel="0" collapsed="false">
      <c r="A601" s="15"/>
      <c r="B601" s="15"/>
      <c r="C601" s="15"/>
      <c r="D601" s="15"/>
      <c r="E601" s="15"/>
      <c r="F601" s="15"/>
      <c r="G601" s="16" t="str">
        <f aca="false">IF(OR(E601="",F601=""),"",IF(E601=F601,"Yes","No"))</f>
        <v/>
      </c>
      <c r="H601" s="15"/>
      <c r="I601" s="15"/>
      <c r="J601" s="15"/>
      <c r="K601" s="15"/>
    </row>
    <row r="602" customFormat="false" ht="15" hidden="false" customHeight="false" outlineLevel="0" collapsed="false">
      <c r="A602" s="15"/>
      <c r="B602" s="15"/>
      <c r="C602" s="15"/>
      <c r="D602" s="15"/>
      <c r="E602" s="15"/>
      <c r="F602" s="15"/>
      <c r="G602" s="16" t="str">
        <f aca="false">IF(OR(E602="",F602=""),"",IF(E602=F602,"Yes","No"))</f>
        <v/>
      </c>
      <c r="H602" s="15"/>
      <c r="I602" s="15"/>
      <c r="J602" s="15"/>
      <c r="K602" s="15"/>
    </row>
    <row r="603" customFormat="false" ht="15" hidden="false" customHeight="false" outlineLevel="0" collapsed="false">
      <c r="A603" s="15"/>
      <c r="B603" s="15"/>
      <c r="C603" s="15"/>
      <c r="D603" s="15"/>
      <c r="E603" s="15"/>
      <c r="F603" s="15"/>
      <c r="G603" s="16" t="str">
        <f aca="false">IF(OR(E603="",F603=""),"",IF(E603=F603,"Yes","No"))</f>
        <v/>
      </c>
      <c r="H603" s="15"/>
      <c r="I603" s="15"/>
      <c r="J603" s="15"/>
      <c r="K603" s="15"/>
    </row>
    <row r="604" customFormat="false" ht="15" hidden="false" customHeight="false" outlineLevel="0" collapsed="false">
      <c r="A604" s="15"/>
      <c r="B604" s="15"/>
      <c r="C604" s="15"/>
      <c r="D604" s="15"/>
      <c r="E604" s="15"/>
      <c r="F604" s="15"/>
      <c r="G604" s="16" t="str">
        <f aca="false">IF(OR(E604="",F604=""),"",IF(E604=F604,"Yes","No"))</f>
        <v/>
      </c>
      <c r="H604" s="15"/>
      <c r="I604" s="15"/>
      <c r="J604" s="15"/>
      <c r="K604" s="15"/>
    </row>
    <row r="605" customFormat="false" ht="15" hidden="false" customHeight="false" outlineLevel="0" collapsed="false">
      <c r="A605" s="15"/>
      <c r="B605" s="15"/>
      <c r="C605" s="15"/>
      <c r="D605" s="15"/>
      <c r="E605" s="15"/>
      <c r="F605" s="15"/>
      <c r="G605" s="16" t="str">
        <f aca="false">IF(OR(E605="",F605=""),"",IF(E605=F605,"Yes","No"))</f>
        <v/>
      </c>
      <c r="H605" s="15"/>
      <c r="I605" s="15"/>
      <c r="J605" s="15"/>
      <c r="K605" s="15"/>
    </row>
    <row r="606" customFormat="false" ht="15" hidden="false" customHeight="false" outlineLevel="0" collapsed="false">
      <c r="A606" s="15"/>
      <c r="B606" s="15"/>
      <c r="C606" s="15"/>
      <c r="D606" s="15"/>
      <c r="E606" s="15"/>
      <c r="F606" s="15"/>
      <c r="G606" s="16" t="str">
        <f aca="false">IF(OR(E606="",F606=""),"",IF(E606=F606,"Yes","No"))</f>
        <v/>
      </c>
      <c r="H606" s="15"/>
      <c r="I606" s="15"/>
      <c r="J606" s="15"/>
      <c r="K606" s="15"/>
    </row>
    <row r="607" customFormat="false" ht="15" hidden="false" customHeight="false" outlineLevel="0" collapsed="false">
      <c r="A607" s="15"/>
      <c r="B607" s="15"/>
      <c r="C607" s="15"/>
      <c r="D607" s="15"/>
      <c r="E607" s="15"/>
      <c r="F607" s="15"/>
      <c r="G607" s="16" t="str">
        <f aca="false">IF(OR(E607="",F607=""),"",IF(E607=F607,"Yes","No"))</f>
        <v/>
      </c>
      <c r="H607" s="15"/>
      <c r="I607" s="15"/>
      <c r="J607" s="15"/>
      <c r="K607" s="15"/>
    </row>
    <row r="608" customFormat="false" ht="15" hidden="false" customHeight="false" outlineLevel="0" collapsed="false">
      <c r="A608" s="15"/>
      <c r="B608" s="15"/>
      <c r="C608" s="15"/>
      <c r="D608" s="15"/>
      <c r="E608" s="15"/>
      <c r="F608" s="15"/>
      <c r="G608" s="16" t="str">
        <f aca="false">IF(OR(E608="",F608=""),"",IF(E608=F608,"Yes","No"))</f>
        <v/>
      </c>
      <c r="H608" s="15"/>
      <c r="I608" s="15"/>
      <c r="J608" s="15"/>
      <c r="K608" s="15"/>
    </row>
    <row r="609" customFormat="false" ht="15" hidden="false" customHeight="false" outlineLevel="0" collapsed="false">
      <c r="A609" s="15"/>
      <c r="B609" s="15"/>
      <c r="C609" s="15"/>
      <c r="D609" s="15"/>
      <c r="E609" s="15"/>
      <c r="F609" s="15"/>
      <c r="G609" s="16" t="str">
        <f aca="false">IF(OR(E609="",F609=""),"",IF(E609=F609,"Yes","No"))</f>
        <v/>
      </c>
      <c r="H609" s="15"/>
      <c r="I609" s="15"/>
      <c r="J609" s="15"/>
      <c r="K609" s="15"/>
    </row>
    <row r="610" customFormat="false" ht="15" hidden="false" customHeight="false" outlineLevel="0" collapsed="false">
      <c r="A610" s="15"/>
      <c r="B610" s="15"/>
      <c r="C610" s="15"/>
      <c r="D610" s="15"/>
      <c r="E610" s="15"/>
      <c r="F610" s="15"/>
      <c r="G610" s="16" t="str">
        <f aca="false">IF(OR(E610="",F610=""),"",IF(E610=F610,"Yes","No"))</f>
        <v/>
      </c>
      <c r="H610" s="15"/>
      <c r="I610" s="15"/>
      <c r="J610" s="15"/>
      <c r="K610" s="15"/>
    </row>
    <row r="611" customFormat="false" ht="15" hidden="false" customHeight="false" outlineLevel="0" collapsed="false">
      <c r="A611" s="15"/>
      <c r="B611" s="15"/>
      <c r="C611" s="15"/>
      <c r="D611" s="15"/>
      <c r="E611" s="15"/>
      <c r="F611" s="15"/>
      <c r="G611" s="16" t="str">
        <f aca="false">IF(OR(E611="",F611=""),"",IF(E611=F611,"Yes","No"))</f>
        <v/>
      </c>
      <c r="H611" s="15"/>
      <c r="I611" s="15"/>
      <c r="J611" s="15"/>
      <c r="K611" s="15"/>
    </row>
    <row r="612" customFormat="false" ht="15" hidden="false" customHeight="false" outlineLevel="0" collapsed="false">
      <c r="A612" s="15"/>
      <c r="B612" s="15"/>
      <c r="C612" s="15"/>
      <c r="D612" s="15"/>
      <c r="E612" s="15"/>
      <c r="F612" s="15"/>
      <c r="G612" s="16" t="str">
        <f aca="false">IF(OR(E612="",F612=""),"",IF(E612=F612,"Yes","No"))</f>
        <v/>
      </c>
      <c r="H612" s="15"/>
      <c r="I612" s="15"/>
      <c r="J612" s="15"/>
      <c r="K612" s="15"/>
    </row>
    <row r="613" customFormat="false" ht="15" hidden="false" customHeight="false" outlineLevel="0" collapsed="false">
      <c r="A613" s="15"/>
      <c r="B613" s="15"/>
      <c r="C613" s="15"/>
      <c r="D613" s="15"/>
      <c r="E613" s="15"/>
      <c r="F613" s="15"/>
      <c r="G613" s="16" t="str">
        <f aca="false">IF(OR(E613="",F613=""),"",IF(E613=F613,"Yes","No"))</f>
        <v/>
      </c>
      <c r="H613" s="15"/>
      <c r="I613" s="15"/>
      <c r="J613" s="15"/>
      <c r="K613" s="15"/>
    </row>
    <row r="614" customFormat="false" ht="15" hidden="false" customHeight="false" outlineLevel="0" collapsed="false">
      <c r="A614" s="15"/>
      <c r="B614" s="15"/>
      <c r="C614" s="15"/>
      <c r="D614" s="15"/>
      <c r="E614" s="15"/>
      <c r="F614" s="15"/>
      <c r="G614" s="16" t="str">
        <f aca="false">IF(OR(E614="",F614=""),"",IF(E614=F614,"Yes","No"))</f>
        <v/>
      </c>
      <c r="H614" s="15"/>
      <c r="I614" s="15"/>
      <c r="J614" s="15"/>
      <c r="K614" s="15"/>
    </row>
    <row r="615" customFormat="false" ht="15" hidden="false" customHeight="false" outlineLevel="0" collapsed="false">
      <c r="A615" s="15"/>
      <c r="B615" s="15"/>
      <c r="C615" s="15"/>
      <c r="D615" s="15"/>
      <c r="E615" s="15"/>
      <c r="F615" s="15"/>
      <c r="G615" s="16" t="str">
        <f aca="false">IF(OR(E615="",F615=""),"",IF(E615=F615,"Yes","No"))</f>
        <v/>
      </c>
      <c r="H615" s="15"/>
      <c r="I615" s="15"/>
      <c r="J615" s="15"/>
      <c r="K615" s="15"/>
    </row>
    <row r="616" customFormat="false" ht="15" hidden="false" customHeight="false" outlineLevel="0" collapsed="false">
      <c r="A616" s="15"/>
      <c r="B616" s="15"/>
      <c r="C616" s="15"/>
      <c r="D616" s="15"/>
      <c r="E616" s="15"/>
      <c r="F616" s="15"/>
      <c r="G616" s="16" t="str">
        <f aca="false">IF(OR(E616="",F616=""),"",IF(E616=F616,"Yes","No"))</f>
        <v/>
      </c>
      <c r="H616" s="15"/>
      <c r="I616" s="15"/>
      <c r="J616" s="15"/>
      <c r="K616" s="15"/>
    </row>
    <row r="617" customFormat="false" ht="15" hidden="false" customHeight="false" outlineLevel="0" collapsed="false">
      <c r="A617" s="15"/>
      <c r="B617" s="15"/>
      <c r="C617" s="15"/>
      <c r="D617" s="15"/>
      <c r="E617" s="15"/>
      <c r="F617" s="15"/>
      <c r="G617" s="16" t="str">
        <f aca="false">IF(OR(E617="",F617=""),"",IF(E617=F617,"Yes","No"))</f>
        <v/>
      </c>
      <c r="H617" s="15"/>
      <c r="I617" s="15"/>
      <c r="J617" s="15"/>
      <c r="K617" s="15"/>
    </row>
    <row r="618" customFormat="false" ht="15" hidden="false" customHeight="false" outlineLevel="0" collapsed="false">
      <c r="A618" s="15"/>
      <c r="B618" s="15"/>
      <c r="C618" s="15"/>
      <c r="D618" s="15"/>
      <c r="E618" s="15"/>
      <c r="F618" s="15"/>
      <c r="G618" s="16" t="str">
        <f aca="false">IF(OR(E618="",F618=""),"",IF(E618=F618,"Yes","No"))</f>
        <v/>
      </c>
      <c r="H618" s="15"/>
      <c r="I618" s="15"/>
      <c r="J618" s="15"/>
      <c r="K618" s="15"/>
    </row>
    <row r="619" customFormat="false" ht="15" hidden="false" customHeight="false" outlineLevel="0" collapsed="false">
      <c r="A619" s="15"/>
      <c r="B619" s="15"/>
      <c r="C619" s="15"/>
      <c r="D619" s="15"/>
      <c r="E619" s="15"/>
      <c r="F619" s="15"/>
      <c r="G619" s="16" t="str">
        <f aca="false">IF(OR(E619="",F619=""),"",IF(E619=F619,"Yes","No"))</f>
        <v/>
      </c>
      <c r="H619" s="15"/>
      <c r="I619" s="15"/>
      <c r="J619" s="15"/>
      <c r="K619" s="15"/>
    </row>
    <row r="620" customFormat="false" ht="15" hidden="false" customHeight="false" outlineLevel="0" collapsed="false">
      <c r="A620" s="15"/>
      <c r="B620" s="15"/>
      <c r="C620" s="15"/>
      <c r="D620" s="15"/>
      <c r="E620" s="15"/>
      <c r="F620" s="15"/>
      <c r="G620" s="16" t="str">
        <f aca="false">IF(OR(E620="",F620=""),"",IF(E620=F620,"Yes","No"))</f>
        <v/>
      </c>
      <c r="H620" s="15"/>
      <c r="I620" s="15"/>
      <c r="J620" s="15"/>
      <c r="K620" s="15"/>
    </row>
    <row r="621" customFormat="false" ht="15" hidden="false" customHeight="false" outlineLevel="0" collapsed="false">
      <c r="A621" s="15"/>
      <c r="B621" s="15"/>
      <c r="C621" s="15"/>
      <c r="D621" s="15"/>
      <c r="E621" s="15"/>
      <c r="F621" s="15"/>
      <c r="G621" s="16" t="str">
        <f aca="false">IF(OR(E621="",F621=""),"",IF(E621=F621,"Yes","No"))</f>
        <v/>
      </c>
      <c r="H621" s="15"/>
      <c r="I621" s="15"/>
      <c r="J621" s="15"/>
      <c r="K621" s="15"/>
    </row>
    <row r="622" customFormat="false" ht="15" hidden="false" customHeight="false" outlineLevel="0" collapsed="false">
      <c r="A622" s="15"/>
      <c r="B622" s="15"/>
      <c r="C622" s="15"/>
      <c r="D622" s="15"/>
      <c r="E622" s="15"/>
      <c r="F622" s="15"/>
      <c r="G622" s="16" t="str">
        <f aca="false">IF(OR(E622="",F622=""),"",IF(E622=F622,"Yes","No"))</f>
        <v/>
      </c>
      <c r="H622" s="15"/>
      <c r="I622" s="15"/>
      <c r="J622" s="15"/>
      <c r="K622" s="15"/>
    </row>
    <row r="623" customFormat="false" ht="15" hidden="false" customHeight="false" outlineLevel="0" collapsed="false">
      <c r="A623" s="15"/>
      <c r="B623" s="15"/>
      <c r="C623" s="15"/>
      <c r="D623" s="15"/>
      <c r="E623" s="15"/>
      <c r="F623" s="15"/>
      <c r="G623" s="16" t="str">
        <f aca="false">IF(OR(E623="",F623=""),"",IF(E623=F623,"Yes","No"))</f>
        <v/>
      </c>
      <c r="H623" s="15"/>
      <c r="I623" s="15"/>
      <c r="J623" s="15"/>
      <c r="K623" s="15"/>
    </row>
    <row r="624" customFormat="false" ht="15" hidden="false" customHeight="false" outlineLevel="0" collapsed="false">
      <c r="A624" s="15"/>
      <c r="B624" s="15"/>
      <c r="C624" s="15"/>
      <c r="D624" s="15"/>
      <c r="E624" s="15"/>
      <c r="F624" s="15"/>
      <c r="G624" s="16" t="str">
        <f aca="false">IF(OR(E624="",F624=""),"",IF(E624=F624,"Yes","No"))</f>
        <v/>
      </c>
      <c r="H624" s="15"/>
      <c r="I624" s="15"/>
      <c r="J624" s="15"/>
      <c r="K624" s="15"/>
    </row>
    <row r="625" customFormat="false" ht="15" hidden="false" customHeight="false" outlineLevel="0" collapsed="false">
      <c r="A625" s="15"/>
      <c r="B625" s="15"/>
      <c r="C625" s="15"/>
      <c r="D625" s="15"/>
      <c r="E625" s="15"/>
      <c r="F625" s="15"/>
      <c r="G625" s="16" t="str">
        <f aca="false">IF(OR(E625="",F625=""),"",IF(E625=F625,"Yes","No"))</f>
        <v/>
      </c>
      <c r="H625" s="15"/>
      <c r="I625" s="15"/>
      <c r="J625" s="15"/>
      <c r="K625" s="15"/>
    </row>
    <row r="626" customFormat="false" ht="15" hidden="false" customHeight="false" outlineLevel="0" collapsed="false">
      <c r="A626" s="15"/>
      <c r="B626" s="15"/>
      <c r="C626" s="15"/>
      <c r="D626" s="15"/>
      <c r="E626" s="15"/>
      <c r="F626" s="15"/>
      <c r="G626" s="16" t="str">
        <f aca="false">IF(OR(E626="",F626=""),"",IF(E626=F626,"Yes","No"))</f>
        <v/>
      </c>
      <c r="H626" s="15"/>
      <c r="I626" s="15"/>
      <c r="J626" s="15"/>
      <c r="K626" s="15"/>
    </row>
    <row r="627" customFormat="false" ht="15" hidden="false" customHeight="false" outlineLevel="0" collapsed="false">
      <c r="A627" s="15"/>
      <c r="B627" s="15"/>
      <c r="C627" s="15"/>
      <c r="D627" s="15"/>
      <c r="E627" s="15"/>
      <c r="F627" s="15"/>
      <c r="G627" s="16" t="str">
        <f aca="false">IF(OR(E627="",F627=""),"",IF(E627=F627,"Yes","No"))</f>
        <v/>
      </c>
      <c r="H627" s="15"/>
      <c r="I627" s="15"/>
      <c r="J627" s="15"/>
      <c r="K627" s="15"/>
    </row>
    <row r="628" customFormat="false" ht="15" hidden="false" customHeight="false" outlineLevel="0" collapsed="false">
      <c r="A628" s="15"/>
      <c r="B628" s="15"/>
      <c r="C628" s="15"/>
      <c r="D628" s="15"/>
      <c r="E628" s="15"/>
      <c r="F628" s="15"/>
      <c r="G628" s="16" t="str">
        <f aca="false">IF(OR(E628="",F628=""),"",IF(E628=F628,"Yes","No"))</f>
        <v/>
      </c>
      <c r="H628" s="15"/>
      <c r="I628" s="15"/>
      <c r="J628" s="15"/>
      <c r="K628" s="15"/>
    </row>
    <row r="629" customFormat="false" ht="15" hidden="false" customHeight="false" outlineLevel="0" collapsed="false">
      <c r="A629" s="15"/>
      <c r="B629" s="15"/>
      <c r="C629" s="15"/>
      <c r="D629" s="15"/>
      <c r="E629" s="15"/>
      <c r="F629" s="15"/>
      <c r="G629" s="16" t="str">
        <f aca="false">IF(OR(E629="",F629=""),"",IF(E629=F629,"Yes","No"))</f>
        <v/>
      </c>
      <c r="H629" s="15"/>
      <c r="I629" s="15"/>
      <c r="J629" s="15"/>
      <c r="K629" s="15"/>
    </row>
    <row r="630" customFormat="false" ht="15" hidden="false" customHeight="false" outlineLevel="0" collapsed="false">
      <c r="A630" s="15"/>
      <c r="B630" s="15"/>
      <c r="C630" s="15"/>
      <c r="D630" s="15"/>
      <c r="E630" s="15"/>
      <c r="F630" s="15"/>
      <c r="G630" s="16" t="str">
        <f aca="false">IF(OR(E630="",F630=""),"",IF(E630=F630,"Yes","No"))</f>
        <v/>
      </c>
      <c r="H630" s="15"/>
      <c r="I630" s="15"/>
      <c r="J630" s="15"/>
      <c r="K630" s="15"/>
    </row>
    <row r="631" customFormat="false" ht="15" hidden="false" customHeight="false" outlineLevel="0" collapsed="false">
      <c r="A631" s="15"/>
      <c r="B631" s="15"/>
      <c r="C631" s="15"/>
      <c r="D631" s="15"/>
      <c r="E631" s="15"/>
      <c r="F631" s="15"/>
      <c r="G631" s="16" t="str">
        <f aca="false">IF(OR(E631="",F631=""),"",IF(E631=F631,"Yes","No"))</f>
        <v/>
      </c>
      <c r="H631" s="15"/>
      <c r="I631" s="15"/>
      <c r="J631" s="15"/>
      <c r="K631" s="15"/>
    </row>
    <row r="632" customFormat="false" ht="15" hidden="false" customHeight="false" outlineLevel="0" collapsed="false">
      <c r="A632" s="15"/>
      <c r="B632" s="15"/>
      <c r="C632" s="15"/>
      <c r="D632" s="15"/>
      <c r="E632" s="15"/>
      <c r="F632" s="15"/>
      <c r="G632" s="16" t="str">
        <f aca="false">IF(OR(E632="",F632=""),"",IF(E632=F632,"Yes","No"))</f>
        <v/>
      </c>
      <c r="H632" s="15"/>
      <c r="I632" s="15"/>
      <c r="J632" s="15"/>
      <c r="K632" s="15"/>
    </row>
    <row r="633" customFormat="false" ht="15" hidden="false" customHeight="false" outlineLevel="0" collapsed="false">
      <c r="A633" s="15"/>
      <c r="B633" s="15"/>
      <c r="C633" s="15"/>
      <c r="D633" s="15"/>
      <c r="E633" s="15"/>
      <c r="F633" s="15"/>
      <c r="G633" s="16" t="str">
        <f aca="false">IF(OR(E633="",F633=""),"",IF(E633=F633,"Yes","No"))</f>
        <v/>
      </c>
      <c r="H633" s="15"/>
      <c r="I633" s="15"/>
      <c r="J633" s="15"/>
      <c r="K633" s="15"/>
    </row>
    <row r="634" customFormat="false" ht="15" hidden="false" customHeight="false" outlineLevel="0" collapsed="false">
      <c r="A634" s="15"/>
      <c r="B634" s="15"/>
      <c r="C634" s="15"/>
      <c r="D634" s="15"/>
      <c r="E634" s="15"/>
      <c r="F634" s="15"/>
      <c r="G634" s="16" t="str">
        <f aca="false">IF(OR(E634="",F634=""),"",IF(E634=F634,"Yes","No"))</f>
        <v/>
      </c>
      <c r="H634" s="15"/>
      <c r="I634" s="15"/>
      <c r="J634" s="15"/>
      <c r="K634" s="15"/>
    </row>
    <row r="635" customFormat="false" ht="15" hidden="false" customHeight="false" outlineLevel="0" collapsed="false">
      <c r="A635" s="15"/>
      <c r="B635" s="15"/>
      <c r="C635" s="15"/>
      <c r="D635" s="15"/>
      <c r="E635" s="15"/>
      <c r="F635" s="15"/>
      <c r="G635" s="16" t="str">
        <f aca="false">IF(OR(E635="",F635=""),"",IF(E635=F635,"Yes","No"))</f>
        <v/>
      </c>
      <c r="H635" s="15"/>
      <c r="I635" s="15"/>
      <c r="J635" s="15"/>
      <c r="K635" s="15"/>
    </row>
    <row r="636" customFormat="false" ht="15" hidden="false" customHeight="false" outlineLevel="0" collapsed="false">
      <c r="A636" s="15"/>
      <c r="B636" s="15"/>
      <c r="C636" s="15"/>
      <c r="D636" s="15"/>
      <c r="E636" s="15"/>
      <c r="F636" s="15"/>
      <c r="G636" s="16" t="str">
        <f aca="false">IF(OR(E636="",F636=""),"",IF(E636=F636,"Yes","No"))</f>
        <v/>
      </c>
      <c r="H636" s="15"/>
      <c r="I636" s="15"/>
      <c r="J636" s="15"/>
      <c r="K636" s="15"/>
    </row>
    <row r="637" customFormat="false" ht="15" hidden="false" customHeight="false" outlineLevel="0" collapsed="false">
      <c r="A637" s="15"/>
      <c r="B637" s="15"/>
      <c r="C637" s="15"/>
      <c r="D637" s="15"/>
      <c r="E637" s="15"/>
      <c r="F637" s="15"/>
      <c r="G637" s="16" t="str">
        <f aca="false">IF(OR(E637="",F637=""),"",IF(E637=F637,"Yes","No"))</f>
        <v/>
      </c>
      <c r="H637" s="15"/>
      <c r="I637" s="15"/>
      <c r="J637" s="15"/>
      <c r="K637" s="15"/>
    </row>
    <row r="638" customFormat="false" ht="15" hidden="false" customHeight="false" outlineLevel="0" collapsed="false">
      <c r="A638" s="15"/>
      <c r="B638" s="15"/>
      <c r="C638" s="15"/>
      <c r="D638" s="15"/>
      <c r="E638" s="15"/>
      <c r="F638" s="15"/>
      <c r="G638" s="16" t="str">
        <f aca="false">IF(OR(E638="",F638=""),"",IF(E638=F638,"Yes","No"))</f>
        <v/>
      </c>
      <c r="H638" s="15"/>
      <c r="I638" s="15"/>
      <c r="J638" s="15"/>
      <c r="K638" s="15"/>
    </row>
    <row r="639" customFormat="false" ht="15" hidden="false" customHeight="false" outlineLevel="0" collapsed="false">
      <c r="A639" s="15"/>
      <c r="B639" s="15"/>
      <c r="C639" s="15"/>
      <c r="D639" s="15"/>
      <c r="E639" s="15"/>
      <c r="F639" s="15"/>
      <c r="G639" s="16" t="str">
        <f aca="false">IF(OR(E639="",F639=""),"",IF(E639=F639,"Yes","No"))</f>
        <v/>
      </c>
      <c r="H639" s="15"/>
      <c r="I639" s="15"/>
      <c r="J639" s="15"/>
      <c r="K639" s="15"/>
    </row>
    <row r="640" customFormat="false" ht="15" hidden="false" customHeight="false" outlineLevel="0" collapsed="false">
      <c r="A640" s="15"/>
      <c r="B640" s="15"/>
      <c r="C640" s="15"/>
      <c r="D640" s="15"/>
      <c r="E640" s="15"/>
      <c r="F640" s="15"/>
      <c r="G640" s="16" t="str">
        <f aca="false">IF(OR(E640="",F640=""),"",IF(E640=F640,"Yes","No"))</f>
        <v/>
      </c>
      <c r="H640" s="15"/>
      <c r="I640" s="15"/>
      <c r="J640" s="15"/>
      <c r="K640" s="15"/>
    </row>
    <row r="641" customFormat="false" ht="15" hidden="false" customHeight="false" outlineLevel="0" collapsed="false">
      <c r="A641" s="15"/>
      <c r="B641" s="15"/>
      <c r="C641" s="15"/>
      <c r="D641" s="15"/>
      <c r="E641" s="15"/>
      <c r="F641" s="15"/>
      <c r="G641" s="16" t="str">
        <f aca="false">IF(OR(E641="",F641=""),"",IF(E641=F641,"Yes","No"))</f>
        <v/>
      </c>
      <c r="H641" s="15"/>
      <c r="I641" s="15"/>
      <c r="J641" s="15"/>
      <c r="K641" s="15"/>
    </row>
    <row r="642" customFormat="false" ht="15" hidden="false" customHeight="false" outlineLevel="0" collapsed="false">
      <c r="A642" s="15"/>
      <c r="B642" s="15"/>
      <c r="C642" s="15"/>
      <c r="D642" s="15"/>
      <c r="E642" s="15"/>
      <c r="F642" s="15"/>
      <c r="G642" s="16" t="str">
        <f aca="false">IF(OR(E642="",F642=""),"",IF(E642=F642,"Yes","No"))</f>
        <v/>
      </c>
      <c r="H642" s="15"/>
      <c r="I642" s="15"/>
      <c r="J642" s="15"/>
      <c r="K642" s="15"/>
    </row>
    <row r="643" customFormat="false" ht="15" hidden="false" customHeight="false" outlineLevel="0" collapsed="false">
      <c r="A643" s="15"/>
      <c r="B643" s="15"/>
      <c r="C643" s="15"/>
      <c r="D643" s="15"/>
      <c r="E643" s="15"/>
      <c r="F643" s="15"/>
      <c r="G643" s="16" t="str">
        <f aca="false">IF(OR(E643="",F643=""),"",IF(E643=F643,"Yes","No"))</f>
        <v/>
      </c>
      <c r="H643" s="15"/>
      <c r="I643" s="15"/>
      <c r="J643" s="15"/>
      <c r="K643" s="15"/>
    </row>
    <row r="644" customFormat="false" ht="15" hidden="false" customHeight="false" outlineLevel="0" collapsed="false">
      <c r="A644" s="15"/>
      <c r="B644" s="15"/>
      <c r="C644" s="15"/>
      <c r="D644" s="15"/>
      <c r="E644" s="15"/>
      <c r="F644" s="15"/>
      <c r="G644" s="16" t="str">
        <f aca="false">IF(OR(E644="",F644=""),"",IF(E644=F644,"Yes","No"))</f>
        <v/>
      </c>
      <c r="H644" s="15"/>
      <c r="I644" s="15"/>
      <c r="J644" s="15"/>
      <c r="K644" s="15"/>
    </row>
    <row r="645" customFormat="false" ht="15" hidden="false" customHeight="false" outlineLevel="0" collapsed="false">
      <c r="A645" s="15"/>
      <c r="B645" s="15"/>
      <c r="C645" s="15"/>
      <c r="D645" s="15"/>
      <c r="E645" s="15"/>
      <c r="F645" s="15"/>
      <c r="G645" s="16" t="str">
        <f aca="false">IF(OR(E645="",F645=""),"",IF(E645=F645,"Yes","No"))</f>
        <v/>
      </c>
      <c r="H645" s="15"/>
      <c r="I645" s="15"/>
      <c r="J645" s="15"/>
      <c r="K645" s="15"/>
    </row>
    <row r="646" customFormat="false" ht="15" hidden="false" customHeight="false" outlineLevel="0" collapsed="false">
      <c r="A646" s="15"/>
      <c r="B646" s="15"/>
      <c r="C646" s="15"/>
      <c r="D646" s="15"/>
      <c r="E646" s="15"/>
      <c r="F646" s="15"/>
      <c r="G646" s="16" t="str">
        <f aca="false">IF(OR(E646="",F646=""),"",IF(E646=F646,"Yes","No"))</f>
        <v/>
      </c>
      <c r="H646" s="15"/>
      <c r="I646" s="15"/>
      <c r="J646" s="15"/>
      <c r="K646" s="15"/>
    </row>
    <row r="647" customFormat="false" ht="15" hidden="false" customHeight="false" outlineLevel="0" collapsed="false">
      <c r="A647" s="15"/>
      <c r="B647" s="15"/>
      <c r="C647" s="15"/>
      <c r="D647" s="15"/>
      <c r="E647" s="15"/>
      <c r="F647" s="15"/>
      <c r="G647" s="16" t="str">
        <f aca="false">IF(OR(E647="",F647=""),"",IF(E647=F647,"Yes","No"))</f>
        <v/>
      </c>
      <c r="H647" s="15"/>
      <c r="I647" s="15"/>
      <c r="J647" s="15"/>
      <c r="K647" s="15"/>
    </row>
    <row r="648" customFormat="false" ht="15" hidden="false" customHeight="false" outlineLevel="0" collapsed="false">
      <c r="A648" s="15"/>
      <c r="B648" s="15"/>
      <c r="C648" s="15"/>
      <c r="D648" s="15"/>
      <c r="E648" s="15"/>
      <c r="F648" s="15"/>
      <c r="G648" s="16" t="str">
        <f aca="false">IF(OR(E648="",F648=""),"",IF(E648=F648,"Yes","No"))</f>
        <v/>
      </c>
      <c r="H648" s="15"/>
      <c r="I648" s="15"/>
      <c r="J648" s="15"/>
      <c r="K648" s="15"/>
    </row>
    <row r="649" customFormat="false" ht="15" hidden="false" customHeight="false" outlineLevel="0" collapsed="false">
      <c r="A649" s="15"/>
      <c r="B649" s="15"/>
      <c r="C649" s="15"/>
      <c r="D649" s="15"/>
      <c r="E649" s="15"/>
      <c r="F649" s="15"/>
      <c r="G649" s="16" t="str">
        <f aca="false">IF(OR(E649="",F649=""),"",IF(E649=F649,"Yes","No"))</f>
        <v/>
      </c>
      <c r="H649" s="15"/>
      <c r="I649" s="15"/>
      <c r="J649" s="15"/>
      <c r="K649" s="15"/>
    </row>
    <row r="650" customFormat="false" ht="15" hidden="false" customHeight="false" outlineLevel="0" collapsed="false">
      <c r="A650" s="15"/>
      <c r="B650" s="15"/>
      <c r="C650" s="15"/>
      <c r="D650" s="15"/>
      <c r="E650" s="15"/>
      <c r="F650" s="15"/>
      <c r="G650" s="16" t="str">
        <f aca="false">IF(OR(E650="",F650=""),"",IF(E650=F650,"Yes","No"))</f>
        <v/>
      </c>
      <c r="H650" s="15"/>
      <c r="I650" s="15"/>
      <c r="J650" s="15"/>
      <c r="K650" s="15"/>
    </row>
    <row r="651" customFormat="false" ht="15" hidden="false" customHeight="false" outlineLevel="0" collapsed="false">
      <c r="A651" s="15"/>
      <c r="B651" s="15"/>
      <c r="C651" s="15"/>
      <c r="D651" s="15"/>
      <c r="E651" s="15"/>
      <c r="F651" s="15"/>
      <c r="G651" s="16" t="str">
        <f aca="false">IF(OR(E651="",F651=""),"",IF(E651=F651,"Yes","No"))</f>
        <v/>
      </c>
      <c r="H651" s="15"/>
      <c r="I651" s="15"/>
      <c r="J651" s="15"/>
      <c r="K651" s="15"/>
    </row>
    <row r="652" customFormat="false" ht="15" hidden="false" customHeight="false" outlineLevel="0" collapsed="false">
      <c r="A652" s="15"/>
      <c r="B652" s="15"/>
      <c r="C652" s="15"/>
      <c r="D652" s="15"/>
      <c r="E652" s="15"/>
      <c r="F652" s="15"/>
      <c r="G652" s="16" t="str">
        <f aca="false">IF(OR(E652="",F652=""),"",IF(E652=F652,"Yes","No"))</f>
        <v/>
      </c>
      <c r="H652" s="15"/>
      <c r="I652" s="15"/>
      <c r="J652" s="15"/>
      <c r="K652" s="15"/>
    </row>
    <row r="653" customFormat="false" ht="15" hidden="false" customHeight="false" outlineLevel="0" collapsed="false">
      <c r="A653" s="15"/>
      <c r="B653" s="15"/>
      <c r="C653" s="15"/>
      <c r="D653" s="15"/>
      <c r="E653" s="15"/>
      <c r="F653" s="15"/>
      <c r="G653" s="16" t="str">
        <f aca="false">IF(OR(E653="",F653=""),"",IF(E653=F653,"Yes","No"))</f>
        <v/>
      </c>
      <c r="H653" s="15"/>
      <c r="I653" s="15"/>
      <c r="J653" s="15"/>
      <c r="K653" s="15"/>
    </row>
    <row r="654" customFormat="false" ht="15" hidden="false" customHeight="false" outlineLevel="0" collapsed="false">
      <c r="A654" s="15"/>
      <c r="B654" s="15"/>
      <c r="C654" s="15"/>
      <c r="D654" s="15"/>
      <c r="E654" s="15"/>
      <c r="F654" s="15"/>
      <c r="G654" s="16" t="str">
        <f aca="false">IF(OR(E654="",F654=""),"",IF(E654=F654,"Yes","No"))</f>
        <v/>
      </c>
      <c r="H654" s="15"/>
      <c r="I654" s="15"/>
      <c r="J654" s="15"/>
      <c r="K654" s="15"/>
    </row>
    <row r="655" customFormat="false" ht="15" hidden="false" customHeight="false" outlineLevel="0" collapsed="false">
      <c r="A655" s="15"/>
      <c r="B655" s="15"/>
      <c r="C655" s="15"/>
      <c r="D655" s="15"/>
      <c r="E655" s="15"/>
      <c r="F655" s="15"/>
      <c r="G655" s="16" t="str">
        <f aca="false">IF(OR(E655="",F655=""),"",IF(E655=F655,"Yes","No"))</f>
        <v/>
      </c>
      <c r="H655" s="15"/>
      <c r="I655" s="15"/>
      <c r="J655" s="15"/>
      <c r="K655" s="15"/>
    </row>
    <row r="656" customFormat="false" ht="15" hidden="false" customHeight="false" outlineLevel="0" collapsed="false">
      <c r="A656" s="15"/>
      <c r="B656" s="15"/>
      <c r="C656" s="15"/>
      <c r="D656" s="15"/>
      <c r="E656" s="15"/>
      <c r="F656" s="15"/>
      <c r="G656" s="16" t="str">
        <f aca="false">IF(OR(E656="",F656=""),"",IF(E656=F656,"Yes","No"))</f>
        <v/>
      </c>
      <c r="H656" s="15"/>
      <c r="I656" s="15"/>
      <c r="J656" s="15"/>
      <c r="K656" s="15"/>
    </row>
    <row r="657" customFormat="false" ht="15" hidden="false" customHeight="false" outlineLevel="0" collapsed="false">
      <c r="A657" s="15"/>
      <c r="B657" s="15"/>
      <c r="C657" s="15"/>
      <c r="D657" s="15"/>
      <c r="E657" s="15"/>
      <c r="F657" s="15"/>
      <c r="G657" s="16" t="str">
        <f aca="false">IF(OR(E657="",F657=""),"",IF(E657=F657,"Yes","No"))</f>
        <v/>
      </c>
      <c r="H657" s="15"/>
      <c r="I657" s="15"/>
      <c r="J657" s="15"/>
      <c r="K657" s="15"/>
    </row>
    <row r="658" customFormat="false" ht="15" hidden="false" customHeight="false" outlineLevel="0" collapsed="false">
      <c r="A658" s="15"/>
      <c r="B658" s="15"/>
      <c r="C658" s="15"/>
      <c r="D658" s="15"/>
      <c r="E658" s="15"/>
      <c r="F658" s="15"/>
      <c r="G658" s="16" t="str">
        <f aca="false">IF(OR(E658="",F658=""),"",IF(E658=F658,"Yes","No"))</f>
        <v/>
      </c>
      <c r="H658" s="15"/>
      <c r="I658" s="15"/>
      <c r="J658" s="15"/>
      <c r="K658" s="15"/>
    </row>
    <row r="659" customFormat="false" ht="15" hidden="false" customHeight="false" outlineLevel="0" collapsed="false">
      <c r="A659" s="15"/>
      <c r="B659" s="15"/>
      <c r="C659" s="15"/>
      <c r="D659" s="15"/>
      <c r="E659" s="15"/>
      <c r="F659" s="15"/>
      <c r="G659" s="16" t="str">
        <f aca="false">IF(OR(E659="",F659=""),"",IF(E659=F659,"Yes","No"))</f>
        <v/>
      </c>
      <c r="H659" s="15"/>
      <c r="I659" s="15"/>
      <c r="J659" s="15"/>
      <c r="K659" s="15"/>
    </row>
    <row r="660" customFormat="false" ht="15" hidden="false" customHeight="false" outlineLevel="0" collapsed="false">
      <c r="A660" s="15"/>
      <c r="B660" s="15"/>
      <c r="C660" s="15"/>
      <c r="D660" s="15"/>
      <c r="E660" s="15"/>
      <c r="F660" s="15"/>
      <c r="G660" s="16" t="str">
        <f aca="false">IF(OR(E660="",F660=""),"",IF(E660=F660,"Yes","No"))</f>
        <v/>
      </c>
      <c r="H660" s="15"/>
      <c r="I660" s="15"/>
      <c r="J660" s="15"/>
      <c r="K660" s="15"/>
    </row>
    <row r="661" customFormat="false" ht="15" hidden="false" customHeight="false" outlineLevel="0" collapsed="false">
      <c r="A661" s="15"/>
      <c r="B661" s="15"/>
      <c r="C661" s="15"/>
      <c r="D661" s="15"/>
      <c r="E661" s="15"/>
      <c r="F661" s="15"/>
      <c r="G661" s="16" t="str">
        <f aca="false">IF(OR(E661="",F661=""),"",IF(E661=F661,"Yes","No"))</f>
        <v/>
      </c>
      <c r="H661" s="15"/>
      <c r="I661" s="15"/>
      <c r="J661" s="15"/>
      <c r="K661" s="15"/>
    </row>
    <row r="662" customFormat="false" ht="15" hidden="false" customHeight="false" outlineLevel="0" collapsed="false">
      <c r="A662" s="15"/>
      <c r="B662" s="15"/>
      <c r="C662" s="15"/>
      <c r="D662" s="15"/>
      <c r="E662" s="15"/>
      <c r="F662" s="15"/>
      <c r="G662" s="16" t="str">
        <f aca="false">IF(OR(E662="",F662=""),"",IF(E662=F662,"Yes","No"))</f>
        <v/>
      </c>
      <c r="H662" s="15"/>
      <c r="I662" s="15"/>
      <c r="J662" s="15"/>
      <c r="K662" s="15"/>
    </row>
    <row r="663" customFormat="false" ht="15" hidden="false" customHeight="false" outlineLevel="0" collapsed="false">
      <c r="A663" s="15"/>
      <c r="B663" s="15"/>
      <c r="C663" s="15"/>
      <c r="D663" s="15"/>
      <c r="E663" s="15"/>
      <c r="F663" s="15"/>
      <c r="G663" s="16" t="str">
        <f aca="false">IF(OR(E663="",F663=""),"",IF(E663=F663,"Yes","No"))</f>
        <v/>
      </c>
      <c r="H663" s="15"/>
      <c r="I663" s="15"/>
      <c r="J663" s="15"/>
      <c r="K663" s="15"/>
    </row>
    <row r="664" customFormat="false" ht="15" hidden="false" customHeight="false" outlineLevel="0" collapsed="false">
      <c r="A664" s="15"/>
      <c r="B664" s="15"/>
      <c r="C664" s="15"/>
      <c r="D664" s="15"/>
      <c r="E664" s="15"/>
      <c r="F664" s="15"/>
      <c r="G664" s="16" t="str">
        <f aca="false">IF(OR(E664="",F664=""),"",IF(E664=F664,"Yes","No"))</f>
        <v/>
      </c>
      <c r="H664" s="15"/>
      <c r="I664" s="15"/>
      <c r="J664" s="15"/>
      <c r="K664" s="15"/>
    </row>
    <row r="665" customFormat="false" ht="15" hidden="false" customHeight="false" outlineLevel="0" collapsed="false">
      <c r="A665" s="15"/>
      <c r="B665" s="15"/>
      <c r="C665" s="15"/>
      <c r="D665" s="15"/>
      <c r="E665" s="15"/>
      <c r="F665" s="15"/>
      <c r="G665" s="16" t="str">
        <f aca="false">IF(OR(E665="",F665=""),"",IF(E665=F665,"Yes","No"))</f>
        <v/>
      </c>
      <c r="H665" s="15"/>
      <c r="I665" s="15"/>
      <c r="J665" s="15"/>
      <c r="K665" s="15"/>
    </row>
    <row r="666" customFormat="false" ht="15" hidden="false" customHeight="false" outlineLevel="0" collapsed="false">
      <c r="A666" s="15"/>
      <c r="B666" s="15"/>
      <c r="C666" s="15"/>
      <c r="D666" s="15"/>
      <c r="E666" s="15"/>
      <c r="F666" s="15"/>
      <c r="G666" s="16" t="str">
        <f aca="false">IF(OR(E666="",F666=""),"",IF(E666=F666,"Yes","No"))</f>
        <v/>
      </c>
      <c r="H666" s="15"/>
      <c r="I666" s="15"/>
      <c r="J666" s="15"/>
      <c r="K666" s="15"/>
    </row>
    <row r="667" customFormat="false" ht="15" hidden="false" customHeight="false" outlineLevel="0" collapsed="false">
      <c r="A667" s="15"/>
      <c r="B667" s="15"/>
      <c r="C667" s="15"/>
      <c r="D667" s="15"/>
      <c r="E667" s="15"/>
      <c r="F667" s="15"/>
      <c r="G667" s="16" t="str">
        <f aca="false">IF(OR(E667="",F667=""),"",IF(E667=F667,"Yes","No"))</f>
        <v/>
      </c>
      <c r="H667" s="15"/>
      <c r="I667" s="15"/>
      <c r="J667" s="15"/>
      <c r="K667" s="15"/>
    </row>
    <row r="668" customFormat="false" ht="15" hidden="false" customHeight="false" outlineLevel="0" collapsed="false">
      <c r="A668" s="15"/>
      <c r="B668" s="15"/>
      <c r="C668" s="15"/>
      <c r="D668" s="15"/>
      <c r="E668" s="15"/>
      <c r="F668" s="15"/>
      <c r="G668" s="16" t="str">
        <f aca="false">IF(OR(E668="",F668=""),"",IF(E668=F668,"Yes","No"))</f>
        <v/>
      </c>
      <c r="H668" s="15"/>
      <c r="I668" s="15"/>
      <c r="J668" s="15"/>
      <c r="K668" s="15"/>
    </row>
    <row r="669" customFormat="false" ht="15" hidden="false" customHeight="false" outlineLevel="0" collapsed="false">
      <c r="A669" s="15"/>
      <c r="B669" s="15"/>
      <c r="C669" s="15"/>
      <c r="D669" s="15"/>
      <c r="E669" s="15"/>
      <c r="F669" s="15"/>
      <c r="G669" s="16" t="str">
        <f aca="false">IF(OR(E669="",F669=""),"",IF(E669=F669,"Yes","No"))</f>
        <v/>
      </c>
      <c r="H669" s="15"/>
      <c r="I669" s="15"/>
      <c r="J669" s="15"/>
      <c r="K669" s="15"/>
    </row>
    <row r="670" customFormat="false" ht="15" hidden="false" customHeight="false" outlineLevel="0" collapsed="false">
      <c r="A670" s="15"/>
      <c r="B670" s="15"/>
      <c r="C670" s="15"/>
      <c r="D670" s="15"/>
      <c r="E670" s="15"/>
      <c r="F670" s="15"/>
      <c r="G670" s="16" t="str">
        <f aca="false">IF(OR(E670="",F670=""),"",IF(E670=F670,"Yes","No"))</f>
        <v/>
      </c>
      <c r="H670" s="15"/>
      <c r="I670" s="15"/>
      <c r="J670" s="15"/>
      <c r="K670" s="15"/>
    </row>
    <row r="671" customFormat="false" ht="15" hidden="false" customHeight="false" outlineLevel="0" collapsed="false">
      <c r="A671" s="15"/>
      <c r="B671" s="15"/>
      <c r="C671" s="15"/>
      <c r="D671" s="15"/>
      <c r="E671" s="15"/>
      <c r="F671" s="15"/>
      <c r="G671" s="16" t="str">
        <f aca="false">IF(OR(E671="",F671=""),"",IF(E671=F671,"Yes","No"))</f>
        <v/>
      </c>
      <c r="H671" s="15"/>
      <c r="I671" s="15"/>
      <c r="J671" s="15"/>
      <c r="K671" s="15"/>
    </row>
    <row r="672" customFormat="false" ht="15" hidden="false" customHeight="false" outlineLevel="0" collapsed="false">
      <c r="A672" s="15"/>
      <c r="B672" s="15"/>
      <c r="C672" s="15"/>
      <c r="D672" s="15"/>
      <c r="E672" s="15"/>
      <c r="F672" s="15"/>
      <c r="G672" s="16" t="str">
        <f aca="false">IF(OR(E672="",F672=""),"",IF(E672=F672,"Yes","No"))</f>
        <v/>
      </c>
      <c r="H672" s="15"/>
      <c r="I672" s="15"/>
      <c r="J672" s="15"/>
      <c r="K672" s="15"/>
    </row>
    <row r="673" customFormat="false" ht="15" hidden="false" customHeight="false" outlineLevel="0" collapsed="false">
      <c r="A673" s="15"/>
      <c r="B673" s="15"/>
      <c r="C673" s="15"/>
      <c r="D673" s="15"/>
      <c r="E673" s="15"/>
      <c r="F673" s="15"/>
      <c r="G673" s="16" t="str">
        <f aca="false">IF(OR(E673="",F673=""),"",IF(E673=F673,"Yes","No"))</f>
        <v/>
      </c>
      <c r="H673" s="15"/>
      <c r="I673" s="15"/>
      <c r="J673" s="15"/>
      <c r="K673" s="15"/>
    </row>
    <row r="674" customFormat="false" ht="15" hidden="false" customHeight="false" outlineLevel="0" collapsed="false">
      <c r="A674" s="15"/>
      <c r="B674" s="15"/>
      <c r="C674" s="15"/>
      <c r="D674" s="15"/>
      <c r="E674" s="15"/>
      <c r="F674" s="15"/>
      <c r="G674" s="16" t="str">
        <f aca="false">IF(OR(E674="",F674=""),"",IF(E674=F674,"Yes","No"))</f>
        <v/>
      </c>
      <c r="H674" s="15"/>
      <c r="I674" s="15"/>
      <c r="J674" s="15"/>
      <c r="K674" s="15"/>
    </row>
    <row r="675" customFormat="false" ht="15" hidden="false" customHeight="false" outlineLevel="0" collapsed="false">
      <c r="A675" s="15"/>
      <c r="B675" s="15"/>
      <c r="C675" s="15"/>
      <c r="D675" s="15"/>
      <c r="E675" s="15"/>
      <c r="F675" s="15"/>
      <c r="G675" s="16" t="str">
        <f aca="false">IF(OR(E675="",F675=""),"",IF(E675=F675,"Yes","No"))</f>
        <v/>
      </c>
      <c r="H675" s="15"/>
      <c r="I675" s="15"/>
      <c r="J675" s="15"/>
      <c r="K675" s="15"/>
    </row>
    <row r="676" customFormat="false" ht="15" hidden="false" customHeight="false" outlineLevel="0" collapsed="false">
      <c r="A676" s="15"/>
      <c r="B676" s="15"/>
      <c r="C676" s="15"/>
      <c r="D676" s="15"/>
      <c r="E676" s="15"/>
      <c r="F676" s="15"/>
      <c r="G676" s="16" t="str">
        <f aca="false">IF(OR(E676="",F676=""),"",IF(E676=F676,"Yes","No"))</f>
        <v/>
      </c>
      <c r="H676" s="15"/>
      <c r="I676" s="15"/>
      <c r="J676" s="15"/>
      <c r="K676" s="15"/>
    </row>
    <row r="677" customFormat="false" ht="15" hidden="false" customHeight="false" outlineLevel="0" collapsed="false">
      <c r="A677" s="15"/>
      <c r="B677" s="15"/>
      <c r="C677" s="15"/>
      <c r="D677" s="15"/>
      <c r="E677" s="15"/>
      <c r="F677" s="15"/>
      <c r="G677" s="16" t="str">
        <f aca="false">IF(OR(E677="",F677=""),"",IF(E677=F677,"Yes","No"))</f>
        <v/>
      </c>
      <c r="H677" s="15"/>
      <c r="I677" s="15"/>
      <c r="J677" s="15"/>
      <c r="K677" s="15"/>
    </row>
    <row r="678" customFormat="false" ht="15" hidden="false" customHeight="false" outlineLevel="0" collapsed="false">
      <c r="A678" s="15"/>
      <c r="B678" s="15"/>
      <c r="C678" s="15"/>
      <c r="D678" s="15"/>
      <c r="E678" s="15"/>
      <c r="F678" s="15"/>
      <c r="G678" s="16" t="str">
        <f aca="false">IF(OR(E678="",F678=""),"",IF(E678=F678,"Yes","No"))</f>
        <v/>
      </c>
      <c r="H678" s="15"/>
      <c r="I678" s="15"/>
      <c r="J678" s="15"/>
      <c r="K678" s="15"/>
    </row>
    <row r="679" customFormat="false" ht="15" hidden="false" customHeight="false" outlineLevel="0" collapsed="false">
      <c r="A679" s="15"/>
      <c r="B679" s="15"/>
      <c r="C679" s="15"/>
      <c r="D679" s="15"/>
      <c r="E679" s="15"/>
      <c r="F679" s="15"/>
      <c r="G679" s="16" t="str">
        <f aca="false">IF(OR(E679="",F679=""),"",IF(E679=F679,"Yes","No"))</f>
        <v/>
      </c>
      <c r="H679" s="15"/>
      <c r="I679" s="15"/>
      <c r="J679" s="15"/>
      <c r="K679" s="15"/>
    </row>
    <row r="680" customFormat="false" ht="15" hidden="false" customHeight="false" outlineLevel="0" collapsed="false">
      <c r="A680" s="15"/>
      <c r="B680" s="15"/>
      <c r="C680" s="15"/>
      <c r="D680" s="15"/>
      <c r="E680" s="15"/>
      <c r="F680" s="15"/>
      <c r="G680" s="16" t="str">
        <f aca="false">IF(OR(E680="",F680=""),"",IF(E680=F680,"Yes","No"))</f>
        <v/>
      </c>
      <c r="H680" s="15"/>
      <c r="I680" s="15"/>
      <c r="J680" s="15"/>
      <c r="K680" s="15"/>
    </row>
    <row r="681" customFormat="false" ht="15" hidden="false" customHeight="false" outlineLevel="0" collapsed="false">
      <c r="A681" s="15"/>
      <c r="B681" s="15"/>
      <c r="C681" s="15"/>
      <c r="D681" s="15"/>
      <c r="E681" s="15"/>
      <c r="F681" s="15"/>
      <c r="G681" s="16" t="str">
        <f aca="false">IF(OR(E681="",F681=""),"",IF(E681=F681,"Yes","No"))</f>
        <v/>
      </c>
      <c r="H681" s="15"/>
      <c r="I681" s="15"/>
      <c r="J681" s="15"/>
      <c r="K681" s="15"/>
    </row>
    <row r="682" customFormat="false" ht="15" hidden="false" customHeight="false" outlineLevel="0" collapsed="false">
      <c r="A682" s="15"/>
      <c r="B682" s="15"/>
      <c r="C682" s="15"/>
      <c r="D682" s="15"/>
      <c r="E682" s="15"/>
      <c r="F682" s="15"/>
      <c r="G682" s="16" t="str">
        <f aca="false">IF(OR(E682="",F682=""),"",IF(E682=F682,"Yes","No"))</f>
        <v/>
      </c>
      <c r="H682" s="15"/>
      <c r="I682" s="15"/>
      <c r="J682" s="15"/>
      <c r="K682" s="15"/>
    </row>
    <row r="683" customFormat="false" ht="15" hidden="false" customHeight="false" outlineLevel="0" collapsed="false">
      <c r="A683" s="15"/>
      <c r="B683" s="15"/>
      <c r="C683" s="15"/>
      <c r="D683" s="15"/>
      <c r="E683" s="15"/>
      <c r="F683" s="15"/>
      <c r="G683" s="16" t="str">
        <f aca="false">IF(OR(E683="",F683=""),"",IF(E683=F683,"Yes","No"))</f>
        <v/>
      </c>
      <c r="H683" s="15"/>
      <c r="I683" s="15"/>
      <c r="J683" s="15"/>
      <c r="K683" s="15"/>
    </row>
    <row r="684" customFormat="false" ht="15" hidden="false" customHeight="false" outlineLevel="0" collapsed="false">
      <c r="A684" s="15"/>
      <c r="B684" s="15"/>
      <c r="C684" s="15"/>
      <c r="D684" s="15"/>
      <c r="E684" s="15"/>
      <c r="F684" s="15"/>
      <c r="G684" s="16" t="str">
        <f aca="false">IF(OR(E684="",F684=""),"",IF(E684=F684,"Yes","No"))</f>
        <v/>
      </c>
      <c r="H684" s="15"/>
      <c r="I684" s="15"/>
      <c r="J684" s="15"/>
      <c r="K684" s="15"/>
    </row>
    <row r="685" customFormat="false" ht="15" hidden="false" customHeight="false" outlineLevel="0" collapsed="false">
      <c r="A685" s="15"/>
      <c r="B685" s="15"/>
      <c r="C685" s="15"/>
      <c r="D685" s="15"/>
      <c r="E685" s="15"/>
      <c r="F685" s="15"/>
      <c r="G685" s="16" t="str">
        <f aca="false">IF(OR(E685="",F685=""),"",IF(E685=F685,"Yes","No"))</f>
        <v/>
      </c>
      <c r="H685" s="15"/>
      <c r="I685" s="15"/>
      <c r="J685" s="15"/>
      <c r="K685" s="15"/>
    </row>
    <row r="686" customFormat="false" ht="15" hidden="false" customHeight="false" outlineLevel="0" collapsed="false">
      <c r="A686" s="15"/>
      <c r="B686" s="15"/>
      <c r="C686" s="15"/>
      <c r="D686" s="15"/>
      <c r="E686" s="15"/>
      <c r="F686" s="15"/>
      <c r="G686" s="16" t="str">
        <f aca="false">IF(OR(E686="",F686=""),"",IF(E686=F686,"Yes","No"))</f>
        <v/>
      </c>
      <c r="H686" s="15"/>
      <c r="I686" s="15"/>
      <c r="J686" s="15"/>
      <c r="K686" s="15"/>
    </row>
    <row r="687" customFormat="false" ht="15" hidden="false" customHeight="false" outlineLevel="0" collapsed="false">
      <c r="A687" s="15"/>
      <c r="B687" s="15"/>
      <c r="C687" s="15"/>
      <c r="D687" s="15"/>
      <c r="E687" s="15"/>
      <c r="F687" s="15"/>
      <c r="G687" s="16" t="str">
        <f aca="false">IF(OR(E687="",F687=""),"",IF(E687=F687,"Yes","No"))</f>
        <v/>
      </c>
      <c r="H687" s="15"/>
      <c r="I687" s="15"/>
      <c r="J687" s="15"/>
      <c r="K687" s="15"/>
    </row>
    <row r="688" customFormat="false" ht="15" hidden="false" customHeight="false" outlineLevel="0" collapsed="false">
      <c r="A688" s="15"/>
      <c r="B688" s="15"/>
      <c r="C688" s="15"/>
      <c r="D688" s="15"/>
      <c r="E688" s="15"/>
      <c r="F688" s="15"/>
      <c r="G688" s="16" t="str">
        <f aca="false">IF(OR(E688="",F688=""),"",IF(E688=F688,"Yes","No"))</f>
        <v/>
      </c>
      <c r="H688" s="15"/>
      <c r="I688" s="15"/>
      <c r="J688" s="15"/>
      <c r="K688" s="15"/>
    </row>
    <row r="689" customFormat="false" ht="15" hidden="false" customHeight="false" outlineLevel="0" collapsed="false">
      <c r="A689" s="15"/>
      <c r="B689" s="15"/>
      <c r="C689" s="15"/>
      <c r="D689" s="15"/>
      <c r="E689" s="15"/>
      <c r="F689" s="15"/>
      <c r="G689" s="16" t="str">
        <f aca="false">IF(OR(E689="",F689=""),"",IF(E689=F689,"Yes","No"))</f>
        <v/>
      </c>
      <c r="H689" s="15"/>
      <c r="I689" s="15"/>
      <c r="J689" s="15"/>
      <c r="K689" s="15"/>
    </row>
    <row r="690" customFormat="false" ht="15" hidden="false" customHeight="false" outlineLevel="0" collapsed="false">
      <c r="A690" s="15"/>
      <c r="B690" s="15"/>
      <c r="C690" s="15"/>
      <c r="D690" s="15"/>
      <c r="E690" s="15"/>
      <c r="F690" s="15"/>
      <c r="G690" s="16" t="str">
        <f aca="false">IF(OR(E690="",F690=""),"",IF(E690=F690,"Yes","No"))</f>
        <v/>
      </c>
      <c r="H690" s="15"/>
      <c r="I690" s="15"/>
      <c r="J690" s="15"/>
      <c r="K690" s="15"/>
    </row>
    <row r="691" customFormat="false" ht="15" hidden="false" customHeight="false" outlineLevel="0" collapsed="false">
      <c r="A691" s="15"/>
      <c r="B691" s="15"/>
      <c r="C691" s="15"/>
      <c r="D691" s="15"/>
      <c r="E691" s="15"/>
      <c r="F691" s="15"/>
      <c r="G691" s="16" t="str">
        <f aca="false">IF(OR(E691="",F691=""),"",IF(E691=F691,"Yes","No"))</f>
        <v/>
      </c>
      <c r="H691" s="15"/>
      <c r="I691" s="15"/>
      <c r="J691" s="15"/>
      <c r="K691" s="15"/>
    </row>
    <row r="692" customFormat="false" ht="15" hidden="false" customHeight="false" outlineLevel="0" collapsed="false">
      <c r="A692" s="15"/>
      <c r="B692" s="15"/>
      <c r="C692" s="15"/>
      <c r="D692" s="15"/>
      <c r="E692" s="15"/>
      <c r="F692" s="15"/>
      <c r="G692" s="16" t="str">
        <f aca="false">IF(OR(E692="",F692=""),"",IF(E692=F692,"Yes","No"))</f>
        <v/>
      </c>
      <c r="H692" s="15"/>
      <c r="I692" s="15"/>
      <c r="J692" s="15"/>
      <c r="K692" s="15"/>
    </row>
    <row r="693" customFormat="false" ht="15" hidden="false" customHeight="false" outlineLevel="0" collapsed="false">
      <c r="A693" s="15"/>
      <c r="B693" s="15"/>
      <c r="C693" s="15"/>
      <c r="D693" s="15"/>
      <c r="E693" s="15"/>
      <c r="F693" s="15"/>
      <c r="G693" s="16" t="str">
        <f aca="false">IF(OR(E693="",F693=""),"",IF(E693=F693,"Yes","No"))</f>
        <v/>
      </c>
      <c r="H693" s="15"/>
      <c r="I693" s="15"/>
      <c r="J693" s="15"/>
      <c r="K693" s="15"/>
    </row>
    <row r="694" customFormat="false" ht="15" hidden="false" customHeight="false" outlineLevel="0" collapsed="false">
      <c r="A694" s="15"/>
      <c r="B694" s="15"/>
      <c r="C694" s="15"/>
      <c r="D694" s="15"/>
      <c r="E694" s="15"/>
      <c r="F694" s="15"/>
      <c r="G694" s="16" t="str">
        <f aca="false">IF(OR(E694="",F694=""),"",IF(E694=F694,"Yes","No"))</f>
        <v/>
      </c>
      <c r="H694" s="15"/>
      <c r="I694" s="15"/>
      <c r="J694" s="15"/>
      <c r="K694" s="15"/>
    </row>
    <row r="695" customFormat="false" ht="15" hidden="false" customHeight="false" outlineLevel="0" collapsed="false">
      <c r="A695" s="15"/>
      <c r="B695" s="15"/>
      <c r="C695" s="15"/>
      <c r="D695" s="15"/>
      <c r="E695" s="15"/>
      <c r="F695" s="15"/>
      <c r="G695" s="16" t="str">
        <f aca="false">IF(OR(E695="",F695=""),"",IF(E695=F695,"Yes","No"))</f>
        <v/>
      </c>
      <c r="H695" s="15"/>
      <c r="I695" s="15"/>
      <c r="J695" s="15"/>
      <c r="K695" s="15"/>
    </row>
    <row r="696" customFormat="false" ht="15" hidden="false" customHeight="false" outlineLevel="0" collapsed="false">
      <c r="A696" s="15"/>
      <c r="B696" s="15"/>
      <c r="C696" s="15"/>
      <c r="D696" s="15"/>
      <c r="E696" s="15"/>
      <c r="F696" s="15"/>
      <c r="G696" s="16" t="str">
        <f aca="false">IF(OR(E696="",F696=""),"",IF(E696=F696,"Yes","No"))</f>
        <v/>
      </c>
      <c r="H696" s="15"/>
      <c r="I696" s="15"/>
      <c r="J696" s="15"/>
      <c r="K696" s="15"/>
    </row>
    <row r="697" customFormat="false" ht="15" hidden="false" customHeight="false" outlineLevel="0" collapsed="false">
      <c r="A697" s="15"/>
      <c r="B697" s="15"/>
      <c r="C697" s="15"/>
      <c r="D697" s="15"/>
      <c r="E697" s="15"/>
      <c r="F697" s="15"/>
      <c r="G697" s="16" t="str">
        <f aca="false">IF(OR(E697="",F697=""),"",IF(E697=F697,"Yes","No"))</f>
        <v/>
      </c>
      <c r="H697" s="15"/>
      <c r="I697" s="15"/>
      <c r="J697" s="15"/>
      <c r="K697" s="15"/>
    </row>
    <row r="698" customFormat="false" ht="15" hidden="false" customHeight="false" outlineLevel="0" collapsed="false">
      <c r="A698" s="15"/>
      <c r="B698" s="15"/>
      <c r="C698" s="15"/>
      <c r="D698" s="15"/>
      <c r="E698" s="15"/>
      <c r="F698" s="15"/>
      <c r="G698" s="16" t="str">
        <f aca="false">IF(OR(E698="",F698=""),"",IF(E698=F698,"Yes","No"))</f>
        <v/>
      </c>
      <c r="H698" s="15"/>
      <c r="I698" s="15"/>
      <c r="J698" s="15"/>
      <c r="K698" s="15"/>
    </row>
    <row r="699" customFormat="false" ht="15" hidden="false" customHeight="false" outlineLevel="0" collapsed="false">
      <c r="A699" s="15"/>
      <c r="B699" s="15"/>
      <c r="C699" s="15"/>
      <c r="D699" s="15"/>
      <c r="E699" s="15"/>
      <c r="F699" s="15"/>
      <c r="G699" s="16" t="str">
        <f aca="false">IF(OR(E699="",F699=""),"",IF(E699=F699,"Yes","No"))</f>
        <v/>
      </c>
      <c r="H699" s="15"/>
      <c r="I699" s="15"/>
      <c r="J699" s="15"/>
      <c r="K699" s="15"/>
    </row>
    <row r="700" customFormat="false" ht="15" hidden="false" customHeight="false" outlineLevel="0" collapsed="false">
      <c r="A700" s="15"/>
      <c r="B700" s="15"/>
      <c r="C700" s="15"/>
      <c r="D700" s="15"/>
      <c r="E700" s="15"/>
      <c r="F700" s="15"/>
      <c r="G700" s="16" t="str">
        <f aca="false">IF(OR(E700="",F700=""),"",IF(E700=F700,"Yes","No"))</f>
        <v/>
      </c>
      <c r="H700" s="15"/>
      <c r="I700" s="15"/>
      <c r="J700" s="15"/>
      <c r="K700" s="15"/>
    </row>
    <row r="701" customFormat="false" ht="15" hidden="false" customHeight="false" outlineLevel="0" collapsed="false">
      <c r="A701" s="15"/>
      <c r="B701" s="15"/>
      <c r="C701" s="15"/>
      <c r="D701" s="15"/>
      <c r="E701" s="15"/>
      <c r="F701" s="15"/>
      <c r="G701" s="16" t="str">
        <f aca="false">IF(OR(E701="",F701=""),"",IF(E701=F701,"Yes","No"))</f>
        <v/>
      </c>
      <c r="H701" s="15"/>
      <c r="I701" s="15"/>
      <c r="J701" s="15"/>
      <c r="K701" s="15"/>
    </row>
    <row r="702" customFormat="false" ht="15" hidden="false" customHeight="false" outlineLevel="0" collapsed="false">
      <c r="A702" s="15"/>
      <c r="B702" s="15"/>
      <c r="C702" s="15"/>
      <c r="D702" s="15"/>
      <c r="E702" s="15"/>
      <c r="F702" s="15"/>
      <c r="G702" s="16" t="str">
        <f aca="false">IF(OR(E702="",F702=""),"",IF(E702=F702,"Yes","No"))</f>
        <v/>
      </c>
      <c r="H702" s="15"/>
      <c r="I702" s="15"/>
      <c r="J702" s="15"/>
      <c r="K702" s="15"/>
    </row>
    <row r="703" customFormat="false" ht="15" hidden="false" customHeight="false" outlineLevel="0" collapsed="false">
      <c r="A703" s="15"/>
      <c r="B703" s="15"/>
      <c r="C703" s="15"/>
      <c r="D703" s="15"/>
      <c r="E703" s="15"/>
      <c r="F703" s="15"/>
      <c r="G703" s="16" t="str">
        <f aca="false">IF(OR(E703="",F703=""),"",IF(E703=F703,"Yes","No"))</f>
        <v/>
      </c>
      <c r="H703" s="15"/>
      <c r="I703" s="15"/>
      <c r="J703" s="15"/>
      <c r="K703" s="15"/>
    </row>
    <row r="704" customFormat="false" ht="15" hidden="false" customHeight="false" outlineLevel="0" collapsed="false">
      <c r="A704" s="15"/>
      <c r="B704" s="15"/>
      <c r="C704" s="15"/>
      <c r="D704" s="15"/>
      <c r="E704" s="15"/>
      <c r="F704" s="15"/>
      <c r="G704" s="16" t="str">
        <f aca="false">IF(OR(E704="",F704=""),"",IF(E704=F704,"Yes","No"))</f>
        <v/>
      </c>
      <c r="H704" s="15"/>
      <c r="I704" s="15"/>
      <c r="J704" s="15"/>
      <c r="K704" s="15"/>
    </row>
    <row r="705" customFormat="false" ht="15" hidden="false" customHeight="false" outlineLevel="0" collapsed="false">
      <c r="A705" s="15"/>
      <c r="B705" s="15"/>
      <c r="C705" s="15"/>
      <c r="D705" s="15"/>
      <c r="E705" s="15"/>
      <c r="F705" s="15"/>
      <c r="G705" s="16" t="str">
        <f aca="false">IF(OR(E705="",F705=""),"",IF(E705=F705,"Yes","No"))</f>
        <v/>
      </c>
      <c r="H705" s="15"/>
      <c r="I705" s="15"/>
      <c r="J705" s="15"/>
      <c r="K705" s="15"/>
    </row>
    <row r="706" customFormat="false" ht="15" hidden="false" customHeight="false" outlineLevel="0" collapsed="false">
      <c r="A706" s="15"/>
      <c r="B706" s="15"/>
      <c r="C706" s="15"/>
      <c r="D706" s="15"/>
      <c r="E706" s="15"/>
      <c r="F706" s="15"/>
      <c r="G706" s="16" t="str">
        <f aca="false">IF(OR(E706="",F706=""),"",IF(E706=F706,"Yes","No"))</f>
        <v/>
      </c>
      <c r="H706" s="15"/>
      <c r="I706" s="15"/>
      <c r="J706" s="15"/>
      <c r="K706" s="15"/>
    </row>
    <row r="707" customFormat="false" ht="15" hidden="false" customHeight="false" outlineLevel="0" collapsed="false">
      <c r="A707" s="15"/>
      <c r="B707" s="15"/>
      <c r="C707" s="15"/>
      <c r="D707" s="15"/>
      <c r="E707" s="15"/>
      <c r="F707" s="15"/>
      <c r="G707" s="16" t="str">
        <f aca="false">IF(OR(E707="",F707=""),"",IF(E707=F707,"Yes","No"))</f>
        <v/>
      </c>
      <c r="H707" s="15"/>
      <c r="I707" s="15"/>
      <c r="J707" s="15"/>
      <c r="K707" s="15"/>
    </row>
    <row r="708" customFormat="false" ht="15" hidden="false" customHeight="false" outlineLevel="0" collapsed="false">
      <c r="A708" s="15"/>
      <c r="B708" s="15"/>
      <c r="C708" s="15"/>
      <c r="D708" s="15"/>
      <c r="E708" s="15"/>
      <c r="F708" s="15"/>
      <c r="G708" s="16" t="str">
        <f aca="false">IF(OR(E708="",F708=""),"",IF(E708=F708,"Yes","No"))</f>
        <v/>
      </c>
      <c r="H708" s="15"/>
      <c r="I708" s="15"/>
      <c r="J708" s="15"/>
      <c r="K708" s="15"/>
    </row>
    <row r="709" customFormat="false" ht="15" hidden="false" customHeight="false" outlineLevel="0" collapsed="false">
      <c r="A709" s="15"/>
      <c r="B709" s="15"/>
      <c r="C709" s="15"/>
      <c r="D709" s="15"/>
      <c r="E709" s="15"/>
      <c r="F709" s="15"/>
      <c r="G709" s="16" t="str">
        <f aca="false">IF(OR(E709="",F709=""),"",IF(E709=F709,"Yes","No"))</f>
        <v/>
      </c>
      <c r="H709" s="15"/>
      <c r="I709" s="15"/>
      <c r="J709" s="15"/>
      <c r="K709" s="15"/>
    </row>
    <row r="710" customFormat="false" ht="15" hidden="false" customHeight="false" outlineLevel="0" collapsed="false">
      <c r="A710" s="15"/>
      <c r="B710" s="15"/>
      <c r="C710" s="15"/>
      <c r="D710" s="15"/>
      <c r="E710" s="15"/>
      <c r="F710" s="15"/>
      <c r="G710" s="16" t="str">
        <f aca="false">IF(OR(E710="",F710=""),"",IF(E710=F710,"Yes","No"))</f>
        <v/>
      </c>
      <c r="H710" s="15"/>
      <c r="I710" s="15"/>
      <c r="J710" s="15"/>
      <c r="K710" s="15"/>
    </row>
    <row r="711" customFormat="false" ht="15" hidden="false" customHeight="false" outlineLevel="0" collapsed="false">
      <c r="A711" s="15"/>
      <c r="B711" s="15"/>
      <c r="C711" s="15"/>
      <c r="D711" s="15"/>
      <c r="E711" s="15"/>
      <c r="F711" s="15"/>
      <c r="G711" s="16" t="str">
        <f aca="false">IF(OR(E711="",F711=""),"",IF(E711=F711,"Yes","No"))</f>
        <v/>
      </c>
      <c r="H711" s="15"/>
      <c r="I711" s="15"/>
      <c r="J711" s="15"/>
      <c r="K711" s="15"/>
    </row>
    <row r="712" customFormat="false" ht="15" hidden="false" customHeight="false" outlineLevel="0" collapsed="false">
      <c r="A712" s="15"/>
      <c r="B712" s="15"/>
      <c r="C712" s="15"/>
      <c r="D712" s="15"/>
      <c r="E712" s="15"/>
      <c r="F712" s="15"/>
      <c r="G712" s="16" t="str">
        <f aca="false">IF(OR(E712="",F712=""),"",IF(E712=F712,"Yes","No"))</f>
        <v/>
      </c>
      <c r="H712" s="15"/>
      <c r="I712" s="15"/>
      <c r="J712" s="15"/>
      <c r="K712" s="15"/>
    </row>
    <row r="713" customFormat="false" ht="15" hidden="false" customHeight="false" outlineLevel="0" collapsed="false">
      <c r="A713" s="15"/>
      <c r="B713" s="15"/>
      <c r="C713" s="15"/>
      <c r="D713" s="15"/>
      <c r="E713" s="15"/>
      <c r="F713" s="15"/>
      <c r="G713" s="16" t="str">
        <f aca="false">IF(OR(E713="",F713=""),"",IF(E713=F713,"Yes","No"))</f>
        <v/>
      </c>
      <c r="H713" s="15"/>
      <c r="I713" s="15"/>
      <c r="J713" s="15"/>
      <c r="K713" s="15"/>
    </row>
    <row r="714" customFormat="false" ht="15" hidden="false" customHeight="false" outlineLevel="0" collapsed="false">
      <c r="A714" s="15"/>
      <c r="B714" s="15"/>
      <c r="C714" s="15"/>
      <c r="D714" s="15"/>
      <c r="E714" s="15"/>
      <c r="F714" s="15"/>
      <c r="G714" s="16" t="str">
        <f aca="false">IF(OR(E714="",F714=""),"",IF(E714=F714,"Yes","No"))</f>
        <v/>
      </c>
      <c r="H714" s="15"/>
      <c r="I714" s="15"/>
      <c r="J714" s="15"/>
      <c r="K714" s="15"/>
    </row>
    <row r="715" customFormat="false" ht="15" hidden="false" customHeight="false" outlineLevel="0" collapsed="false">
      <c r="A715" s="15"/>
      <c r="B715" s="15"/>
      <c r="C715" s="15"/>
      <c r="D715" s="15"/>
      <c r="E715" s="15"/>
      <c r="F715" s="15"/>
      <c r="G715" s="16" t="str">
        <f aca="false">IF(OR(E715="",F715=""),"",IF(E715=F715,"Yes","No"))</f>
        <v/>
      </c>
      <c r="H715" s="15"/>
      <c r="I715" s="15"/>
      <c r="J715" s="15"/>
      <c r="K715" s="15"/>
    </row>
    <row r="716" customFormat="false" ht="15" hidden="false" customHeight="false" outlineLevel="0" collapsed="false">
      <c r="A716" s="15"/>
      <c r="B716" s="15"/>
      <c r="C716" s="15"/>
      <c r="D716" s="15"/>
      <c r="E716" s="15"/>
      <c r="F716" s="15"/>
      <c r="G716" s="16" t="str">
        <f aca="false">IF(OR(E716="",F716=""),"",IF(E716=F716,"Yes","No"))</f>
        <v/>
      </c>
      <c r="H716" s="15"/>
      <c r="I716" s="15"/>
      <c r="J716" s="15"/>
      <c r="K716" s="15"/>
    </row>
    <row r="717" customFormat="false" ht="15" hidden="false" customHeight="false" outlineLevel="0" collapsed="false">
      <c r="A717" s="15"/>
      <c r="B717" s="15"/>
      <c r="C717" s="15"/>
      <c r="D717" s="15"/>
      <c r="E717" s="15"/>
      <c r="F717" s="15"/>
      <c r="G717" s="16" t="str">
        <f aca="false">IF(OR(E717="",F717=""),"",IF(E717=F717,"Yes","No"))</f>
        <v/>
      </c>
      <c r="H717" s="15"/>
      <c r="I717" s="15"/>
      <c r="J717" s="15"/>
      <c r="K717" s="15"/>
    </row>
    <row r="718" customFormat="false" ht="15" hidden="false" customHeight="false" outlineLevel="0" collapsed="false">
      <c r="A718" s="15"/>
      <c r="B718" s="15"/>
      <c r="C718" s="15"/>
      <c r="D718" s="15"/>
      <c r="E718" s="15"/>
      <c r="F718" s="15"/>
      <c r="G718" s="16" t="str">
        <f aca="false">IF(OR(E718="",F718=""),"",IF(E718=F718,"Yes","No"))</f>
        <v/>
      </c>
      <c r="H718" s="15"/>
      <c r="I718" s="15"/>
      <c r="J718" s="15"/>
      <c r="K718" s="15"/>
    </row>
    <row r="719" customFormat="false" ht="15" hidden="false" customHeight="false" outlineLevel="0" collapsed="false">
      <c r="A719" s="15"/>
      <c r="B719" s="15"/>
      <c r="C719" s="15"/>
      <c r="D719" s="15"/>
      <c r="E719" s="15"/>
      <c r="F719" s="15"/>
      <c r="G719" s="16" t="str">
        <f aca="false">IF(OR(E719="",F719=""),"",IF(E719=F719,"Yes","No"))</f>
        <v/>
      </c>
      <c r="H719" s="15"/>
      <c r="I719" s="15"/>
      <c r="J719" s="15"/>
      <c r="K719" s="15"/>
    </row>
    <row r="720" customFormat="false" ht="15" hidden="false" customHeight="false" outlineLevel="0" collapsed="false">
      <c r="A720" s="15"/>
      <c r="B720" s="15"/>
      <c r="C720" s="15"/>
      <c r="D720" s="15"/>
      <c r="E720" s="15"/>
      <c r="F720" s="15"/>
      <c r="G720" s="16" t="str">
        <f aca="false">IF(OR(E720="",F720=""),"",IF(E720=F720,"Yes","No"))</f>
        <v/>
      </c>
      <c r="H720" s="15"/>
      <c r="I720" s="15"/>
      <c r="J720" s="15"/>
      <c r="K720" s="15"/>
    </row>
    <row r="721" customFormat="false" ht="15" hidden="false" customHeight="false" outlineLevel="0" collapsed="false">
      <c r="A721" s="15"/>
      <c r="B721" s="15"/>
      <c r="C721" s="15"/>
      <c r="D721" s="15"/>
      <c r="E721" s="15"/>
      <c r="F721" s="15"/>
      <c r="G721" s="16" t="str">
        <f aca="false">IF(OR(E721="",F721=""),"",IF(E721=F721,"Yes","No"))</f>
        <v/>
      </c>
      <c r="H721" s="15"/>
      <c r="I721" s="15"/>
      <c r="J721" s="15"/>
      <c r="K721" s="15"/>
    </row>
    <row r="722" customFormat="false" ht="15" hidden="false" customHeight="false" outlineLevel="0" collapsed="false">
      <c r="A722" s="15"/>
      <c r="B722" s="15"/>
      <c r="C722" s="15"/>
      <c r="D722" s="15"/>
      <c r="E722" s="15"/>
      <c r="F722" s="15"/>
      <c r="G722" s="16" t="str">
        <f aca="false">IF(OR(E722="",F722=""),"",IF(E722=F722,"Yes","No"))</f>
        <v/>
      </c>
      <c r="H722" s="15"/>
      <c r="I722" s="15"/>
      <c r="J722" s="15"/>
      <c r="K722" s="15"/>
    </row>
    <row r="723" customFormat="false" ht="15" hidden="false" customHeight="false" outlineLevel="0" collapsed="false">
      <c r="A723" s="15"/>
      <c r="B723" s="15"/>
      <c r="C723" s="15"/>
      <c r="D723" s="15"/>
      <c r="E723" s="15"/>
      <c r="F723" s="15"/>
      <c r="G723" s="16" t="str">
        <f aca="false">IF(OR(E723="",F723=""),"",IF(E723=F723,"Yes","No"))</f>
        <v/>
      </c>
      <c r="H723" s="15"/>
      <c r="I723" s="15"/>
      <c r="J723" s="15"/>
      <c r="K723" s="15"/>
    </row>
    <row r="724" customFormat="false" ht="15" hidden="false" customHeight="false" outlineLevel="0" collapsed="false">
      <c r="A724" s="15"/>
      <c r="B724" s="15"/>
      <c r="C724" s="15"/>
      <c r="D724" s="15"/>
      <c r="E724" s="15"/>
      <c r="F724" s="15"/>
      <c r="G724" s="16" t="str">
        <f aca="false">IF(OR(E724="",F724=""),"",IF(E724=F724,"Yes","No"))</f>
        <v/>
      </c>
      <c r="H724" s="15"/>
      <c r="I724" s="15"/>
      <c r="J724" s="15"/>
      <c r="K724" s="15"/>
    </row>
    <row r="725" customFormat="false" ht="15" hidden="false" customHeight="false" outlineLevel="0" collapsed="false">
      <c r="A725" s="15"/>
      <c r="B725" s="15"/>
      <c r="C725" s="15"/>
      <c r="D725" s="15"/>
      <c r="E725" s="15"/>
      <c r="F725" s="15"/>
      <c r="G725" s="16" t="str">
        <f aca="false">IF(OR(E725="",F725=""),"",IF(E725=F725,"Yes","No"))</f>
        <v/>
      </c>
      <c r="H725" s="15"/>
      <c r="I725" s="15"/>
      <c r="J725" s="15"/>
      <c r="K725" s="15"/>
    </row>
    <row r="726" customFormat="false" ht="15" hidden="false" customHeight="false" outlineLevel="0" collapsed="false">
      <c r="A726" s="15"/>
      <c r="B726" s="15"/>
      <c r="C726" s="15"/>
      <c r="D726" s="15"/>
      <c r="E726" s="15"/>
      <c r="F726" s="15"/>
      <c r="G726" s="16" t="str">
        <f aca="false">IF(OR(E726="",F726=""),"",IF(E726=F726,"Yes","No"))</f>
        <v/>
      </c>
      <c r="H726" s="15"/>
      <c r="I726" s="15"/>
      <c r="J726" s="15"/>
      <c r="K726" s="15"/>
    </row>
    <row r="727" customFormat="false" ht="15" hidden="false" customHeight="false" outlineLevel="0" collapsed="false">
      <c r="A727" s="15"/>
      <c r="B727" s="15"/>
      <c r="C727" s="15"/>
      <c r="D727" s="15"/>
      <c r="E727" s="15"/>
      <c r="F727" s="15"/>
      <c r="G727" s="16" t="str">
        <f aca="false">IF(OR(E727="",F727=""),"",IF(E727=F727,"Yes","No"))</f>
        <v/>
      </c>
      <c r="H727" s="15"/>
      <c r="I727" s="15"/>
      <c r="J727" s="15"/>
      <c r="K727" s="15"/>
    </row>
    <row r="728" customFormat="false" ht="15" hidden="false" customHeight="false" outlineLevel="0" collapsed="false">
      <c r="A728" s="15"/>
      <c r="B728" s="15"/>
      <c r="C728" s="15"/>
      <c r="D728" s="15"/>
      <c r="E728" s="15"/>
      <c r="F728" s="15"/>
      <c r="G728" s="16" t="str">
        <f aca="false">IF(OR(E728="",F728=""),"",IF(E728=F728,"Yes","No"))</f>
        <v/>
      </c>
      <c r="H728" s="15"/>
      <c r="I728" s="15"/>
      <c r="J728" s="15"/>
      <c r="K728" s="15"/>
    </row>
    <row r="729" customFormat="false" ht="15" hidden="false" customHeight="false" outlineLevel="0" collapsed="false">
      <c r="A729" s="15"/>
      <c r="B729" s="15"/>
      <c r="C729" s="15"/>
      <c r="D729" s="15"/>
      <c r="E729" s="15"/>
      <c r="F729" s="15"/>
      <c r="G729" s="16" t="str">
        <f aca="false">IF(OR(E729="",F729=""),"",IF(E729=F729,"Yes","No"))</f>
        <v/>
      </c>
      <c r="H729" s="15"/>
      <c r="I729" s="15"/>
      <c r="J729" s="15"/>
      <c r="K729" s="15"/>
    </row>
    <row r="730" customFormat="false" ht="15" hidden="false" customHeight="false" outlineLevel="0" collapsed="false">
      <c r="A730" s="15"/>
      <c r="B730" s="15"/>
      <c r="C730" s="15"/>
      <c r="D730" s="15"/>
      <c r="E730" s="15"/>
      <c r="F730" s="15"/>
      <c r="G730" s="16" t="str">
        <f aca="false">IF(OR(E730="",F730=""),"",IF(E730=F730,"Yes","No"))</f>
        <v/>
      </c>
      <c r="H730" s="15"/>
      <c r="I730" s="15"/>
      <c r="J730" s="15"/>
      <c r="K730" s="15"/>
    </row>
    <row r="731" customFormat="false" ht="15" hidden="false" customHeight="false" outlineLevel="0" collapsed="false">
      <c r="A731" s="15"/>
      <c r="B731" s="15"/>
      <c r="C731" s="15"/>
      <c r="D731" s="15"/>
      <c r="E731" s="15"/>
      <c r="F731" s="15"/>
      <c r="G731" s="16" t="str">
        <f aca="false">IF(OR(E731="",F731=""),"",IF(E731=F731,"Yes","No"))</f>
        <v/>
      </c>
      <c r="H731" s="15"/>
      <c r="I731" s="15"/>
      <c r="J731" s="15"/>
      <c r="K731" s="15"/>
    </row>
    <row r="732" customFormat="false" ht="15" hidden="false" customHeight="false" outlineLevel="0" collapsed="false">
      <c r="A732" s="15"/>
      <c r="B732" s="15"/>
      <c r="C732" s="15"/>
      <c r="D732" s="15"/>
      <c r="E732" s="15"/>
      <c r="F732" s="15"/>
      <c r="G732" s="16" t="str">
        <f aca="false">IF(OR(E732="",F732=""),"",IF(E732=F732,"Yes","No"))</f>
        <v/>
      </c>
      <c r="H732" s="15"/>
      <c r="I732" s="15"/>
      <c r="J732" s="15"/>
      <c r="K732" s="15"/>
    </row>
    <row r="733" customFormat="false" ht="15" hidden="false" customHeight="false" outlineLevel="0" collapsed="false">
      <c r="A733" s="15"/>
      <c r="B733" s="15"/>
      <c r="C733" s="15"/>
      <c r="D733" s="15"/>
      <c r="E733" s="15"/>
      <c r="F733" s="15"/>
      <c r="G733" s="16" t="str">
        <f aca="false">IF(OR(E733="",F733=""),"",IF(E733=F733,"Yes","No"))</f>
        <v/>
      </c>
      <c r="H733" s="15"/>
      <c r="I733" s="15"/>
      <c r="J733" s="15"/>
      <c r="K733" s="15"/>
    </row>
    <row r="734" customFormat="false" ht="15" hidden="false" customHeight="false" outlineLevel="0" collapsed="false">
      <c r="A734" s="15"/>
      <c r="B734" s="15"/>
      <c r="C734" s="15"/>
      <c r="D734" s="15"/>
      <c r="E734" s="15"/>
      <c r="F734" s="15"/>
      <c r="G734" s="16" t="str">
        <f aca="false">IF(OR(E734="",F734=""),"",IF(E734=F734,"Yes","No"))</f>
        <v/>
      </c>
      <c r="H734" s="15"/>
      <c r="I734" s="15"/>
      <c r="J734" s="15"/>
      <c r="K734" s="15"/>
    </row>
    <row r="735" customFormat="false" ht="15" hidden="false" customHeight="false" outlineLevel="0" collapsed="false">
      <c r="A735" s="15"/>
      <c r="B735" s="15"/>
      <c r="C735" s="15"/>
      <c r="D735" s="15"/>
      <c r="E735" s="15"/>
      <c r="F735" s="15"/>
      <c r="G735" s="16" t="str">
        <f aca="false">IF(OR(E735="",F735=""),"",IF(E735=F735,"Yes","No"))</f>
        <v/>
      </c>
      <c r="H735" s="15"/>
      <c r="I735" s="15"/>
      <c r="J735" s="15"/>
      <c r="K735" s="15"/>
    </row>
    <row r="736" customFormat="false" ht="15" hidden="false" customHeight="false" outlineLevel="0" collapsed="false">
      <c r="A736" s="15"/>
      <c r="B736" s="15"/>
      <c r="C736" s="15"/>
      <c r="D736" s="15"/>
      <c r="E736" s="15"/>
      <c r="F736" s="15"/>
      <c r="G736" s="16" t="str">
        <f aca="false">IF(OR(E736="",F736=""),"",IF(E736=F736,"Yes","No"))</f>
        <v/>
      </c>
      <c r="H736" s="15"/>
      <c r="I736" s="15"/>
      <c r="J736" s="15"/>
      <c r="K736" s="15"/>
    </row>
    <row r="737" customFormat="false" ht="15" hidden="false" customHeight="false" outlineLevel="0" collapsed="false">
      <c r="A737" s="15"/>
      <c r="B737" s="15"/>
      <c r="C737" s="15"/>
      <c r="D737" s="15"/>
      <c r="E737" s="15"/>
      <c r="F737" s="15"/>
      <c r="G737" s="16" t="str">
        <f aca="false">IF(OR(E737="",F737=""),"",IF(E737=F737,"Yes","No"))</f>
        <v/>
      </c>
      <c r="H737" s="15"/>
      <c r="I737" s="15"/>
      <c r="J737" s="15"/>
      <c r="K737" s="15"/>
    </row>
    <row r="738" customFormat="false" ht="15" hidden="false" customHeight="false" outlineLevel="0" collapsed="false">
      <c r="A738" s="15"/>
      <c r="B738" s="15"/>
      <c r="C738" s="15"/>
      <c r="D738" s="15"/>
      <c r="E738" s="15"/>
      <c r="F738" s="15"/>
      <c r="G738" s="16" t="str">
        <f aca="false">IF(OR(E738="",F738=""),"",IF(E738=F738,"Yes","No"))</f>
        <v/>
      </c>
      <c r="H738" s="15"/>
      <c r="I738" s="15"/>
      <c r="J738" s="15"/>
      <c r="K738" s="15"/>
    </row>
    <row r="739" customFormat="false" ht="15" hidden="false" customHeight="false" outlineLevel="0" collapsed="false">
      <c r="A739" s="15"/>
      <c r="B739" s="15"/>
      <c r="C739" s="15"/>
      <c r="D739" s="15"/>
      <c r="E739" s="15"/>
      <c r="F739" s="15"/>
      <c r="G739" s="16" t="str">
        <f aca="false">IF(OR(E739="",F739=""),"",IF(E739=F739,"Yes","No"))</f>
        <v/>
      </c>
      <c r="H739" s="15"/>
      <c r="I739" s="15"/>
      <c r="J739" s="15"/>
      <c r="K739" s="15"/>
    </row>
    <row r="740" customFormat="false" ht="15" hidden="false" customHeight="false" outlineLevel="0" collapsed="false">
      <c r="A740" s="15"/>
      <c r="B740" s="15"/>
      <c r="C740" s="15"/>
      <c r="D740" s="15"/>
      <c r="E740" s="15"/>
      <c r="F740" s="15"/>
      <c r="G740" s="16" t="str">
        <f aca="false">IF(OR(E740="",F740=""),"",IF(E740=F740,"Yes","No"))</f>
        <v/>
      </c>
      <c r="H740" s="15"/>
      <c r="I740" s="15"/>
      <c r="J740" s="15"/>
      <c r="K740" s="15"/>
    </row>
    <row r="741" customFormat="false" ht="15" hidden="false" customHeight="false" outlineLevel="0" collapsed="false">
      <c r="A741" s="15"/>
      <c r="B741" s="15"/>
      <c r="C741" s="15"/>
      <c r="D741" s="15"/>
      <c r="E741" s="15"/>
      <c r="F741" s="15"/>
      <c r="G741" s="16" t="str">
        <f aca="false">IF(OR(E741="",F741=""),"",IF(E741=F741,"Yes","No"))</f>
        <v/>
      </c>
      <c r="H741" s="15"/>
      <c r="I741" s="15"/>
      <c r="J741" s="15"/>
      <c r="K741" s="15"/>
    </row>
    <row r="742" customFormat="false" ht="15" hidden="false" customHeight="false" outlineLevel="0" collapsed="false">
      <c r="A742" s="15"/>
      <c r="B742" s="15"/>
      <c r="C742" s="15"/>
      <c r="D742" s="15"/>
      <c r="E742" s="15"/>
      <c r="F742" s="15"/>
      <c r="G742" s="16" t="str">
        <f aca="false">IF(OR(E742="",F742=""),"",IF(E742=F742,"Yes","No"))</f>
        <v/>
      </c>
      <c r="H742" s="15"/>
      <c r="I742" s="15"/>
      <c r="J742" s="15"/>
      <c r="K742" s="15"/>
    </row>
    <row r="743" customFormat="false" ht="15" hidden="false" customHeight="false" outlineLevel="0" collapsed="false">
      <c r="A743" s="15"/>
      <c r="B743" s="15"/>
      <c r="C743" s="15"/>
      <c r="D743" s="15"/>
      <c r="E743" s="15"/>
      <c r="F743" s="15"/>
      <c r="G743" s="16" t="str">
        <f aca="false">IF(OR(E743="",F743=""),"",IF(E743=F743,"Yes","No"))</f>
        <v/>
      </c>
      <c r="H743" s="15"/>
      <c r="I743" s="15"/>
      <c r="J743" s="15"/>
      <c r="K743" s="15"/>
    </row>
    <row r="744" customFormat="false" ht="15" hidden="false" customHeight="false" outlineLevel="0" collapsed="false">
      <c r="A744" s="15"/>
      <c r="B744" s="15"/>
      <c r="C744" s="15"/>
      <c r="D744" s="15"/>
      <c r="E744" s="15"/>
      <c r="F744" s="15"/>
      <c r="G744" s="16" t="str">
        <f aca="false">IF(OR(E744="",F744=""),"",IF(E744=F744,"Yes","No"))</f>
        <v/>
      </c>
      <c r="H744" s="15"/>
      <c r="I744" s="15"/>
      <c r="J744" s="15"/>
      <c r="K744" s="15"/>
    </row>
    <row r="745" customFormat="false" ht="15" hidden="false" customHeight="false" outlineLevel="0" collapsed="false">
      <c r="A745" s="15"/>
      <c r="B745" s="15"/>
      <c r="C745" s="15"/>
      <c r="D745" s="15"/>
      <c r="E745" s="15"/>
      <c r="F745" s="15"/>
      <c r="G745" s="16" t="str">
        <f aca="false">IF(OR(E745="",F745=""),"",IF(E745=F745,"Yes","No"))</f>
        <v/>
      </c>
      <c r="H745" s="15"/>
      <c r="I745" s="15"/>
      <c r="J745" s="15"/>
      <c r="K745" s="15"/>
    </row>
    <row r="746" customFormat="false" ht="15" hidden="false" customHeight="false" outlineLevel="0" collapsed="false">
      <c r="A746" s="15"/>
      <c r="B746" s="15"/>
      <c r="C746" s="15"/>
      <c r="D746" s="15"/>
      <c r="E746" s="15"/>
      <c r="F746" s="15"/>
      <c r="G746" s="16" t="str">
        <f aca="false">IF(OR(E746="",F746=""),"",IF(E746=F746,"Yes","No"))</f>
        <v/>
      </c>
      <c r="H746" s="15"/>
      <c r="I746" s="15"/>
      <c r="J746" s="15"/>
      <c r="K746" s="15"/>
    </row>
    <row r="747" customFormat="false" ht="15" hidden="false" customHeight="false" outlineLevel="0" collapsed="false">
      <c r="A747" s="15"/>
      <c r="B747" s="15"/>
      <c r="C747" s="15"/>
      <c r="D747" s="15"/>
      <c r="E747" s="15"/>
      <c r="F747" s="15"/>
      <c r="G747" s="16" t="str">
        <f aca="false">IF(OR(E747="",F747=""),"",IF(E747=F747,"Yes","No"))</f>
        <v/>
      </c>
      <c r="H747" s="15"/>
      <c r="I747" s="15"/>
      <c r="J747" s="15"/>
      <c r="K747" s="15"/>
    </row>
    <row r="748" customFormat="false" ht="15" hidden="false" customHeight="false" outlineLevel="0" collapsed="false">
      <c r="A748" s="15"/>
      <c r="B748" s="15"/>
      <c r="C748" s="15"/>
      <c r="D748" s="15"/>
      <c r="E748" s="15"/>
      <c r="F748" s="15"/>
      <c r="G748" s="16" t="str">
        <f aca="false">IF(OR(E748="",F748=""),"",IF(E748=F748,"Yes","No"))</f>
        <v/>
      </c>
      <c r="H748" s="15"/>
      <c r="I748" s="15"/>
      <c r="J748" s="15"/>
      <c r="K748" s="15"/>
    </row>
    <row r="749" customFormat="false" ht="15" hidden="false" customHeight="false" outlineLevel="0" collapsed="false">
      <c r="A749" s="15"/>
      <c r="B749" s="15"/>
      <c r="C749" s="15"/>
      <c r="D749" s="15"/>
      <c r="E749" s="15"/>
      <c r="F749" s="15"/>
      <c r="G749" s="16" t="str">
        <f aca="false">IF(OR(E749="",F749=""),"",IF(E749=F749,"Yes","No"))</f>
        <v/>
      </c>
      <c r="H749" s="15"/>
      <c r="I749" s="15"/>
      <c r="J749" s="15"/>
      <c r="K749" s="15"/>
    </row>
    <row r="750" customFormat="false" ht="15" hidden="false" customHeight="false" outlineLevel="0" collapsed="false">
      <c r="A750" s="15"/>
      <c r="B750" s="15"/>
      <c r="C750" s="15"/>
      <c r="D750" s="15"/>
      <c r="E750" s="15"/>
      <c r="F750" s="15"/>
      <c r="G750" s="16" t="str">
        <f aca="false">IF(OR(E750="",F750=""),"",IF(E750=F750,"Yes","No"))</f>
        <v/>
      </c>
      <c r="H750" s="15"/>
      <c r="I750" s="15"/>
      <c r="J750" s="15"/>
      <c r="K750" s="15"/>
    </row>
    <row r="751" customFormat="false" ht="15" hidden="false" customHeight="false" outlineLevel="0" collapsed="false">
      <c r="A751" s="15"/>
      <c r="B751" s="15"/>
      <c r="C751" s="15"/>
      <c r="D751" s="15"/>
      <c r="E751" s="15"/>
      <c r="F751" s="15"/>
      <c r="G751" s="16" t="str">
        <f aca="false">IF(OR(E751="",F751=""),"",IF(E751=F751,"Yes","No"))</f>
        <v/>
      </c>
      <c r="H751" s="15"/>
      <c r="I751" s="15"/>
      <c r="J751" s="15"/>
      <c r="K751" s="15"/>
    </row>
    <row r="752" customFormat="false" ht="15" hidden="false" customHeight="false" outlineLevel="0" collapsed="false">
      <c r="A752" s="15"/>
      <c r="B752" s="15"/>
      <c r="C752" s="15"/>
      <c r="D752" s="15"/>
      <c r="E752" s="15"/>
      <c r="F752" s="15"/>
      <c r="G752" s="16" t="str">
        <f aca="false">IF(OR(E752="",F752=""),"",IF(E752=F752,"Yes","No"))</f>
        <v/>
      </c>
      <c r="H752" s="15"/>
      <c r="I752" s="15"/>
      <c r="J752" s="15"/>
      <c r="K752" s="15"/>
    </row>
    <row r="753" customFormat="false" ht="15" hidden="false" customHeight="false" outlineLevel="0" collapsed="false">
      <c r="A753" s="15"/>
      <c r="B753" s="15"/>
      <c r="C753" s="15"/>
      <c r="D753" s="15"/>
      <c r="E753" s="15"/>
      <c r="F753" s="15"/>
      <c r="G753" s="16" t="str">
        <f aca="false">IF(OR(E753="",F753=""),"",IF(E753=F753,"Yes","No"))</f>
        <v/>
      </c>
      <c r="H753" s="15"/>
      <c r="I753" s="15"/>
      <c r="J753" s="15"/>
      <c r="K753" s="15"/>
    </row>
    <row r="754" customFormat="false" ht="15" hidden="false" customHeight="false" outlineLevel="0" collapsed="false">
      <c r="A754" s="15"/>
      <c r="B754" s="15"/>
      <c r="C754" s="15"/>
      <c r="D754" s="15"/>
      <c r="E754" s="15"/>
      <c r="F754" s="15"/>
      <c r="G754" s="16" t="str">
        <f aca="false">IF(OR(E754="",F754=""),"",IF(E754=F754,"Yes","No"))</f>
        <v/>
      </c>
      <c r="H754" s="15"/>
      <c r="I754" s="15"/>
      <c r="J754" s="15"/>
      <c r="K754" s="15"/>
    </row>
    <row r="755" customFormat="false" ht="15" hidden="false" customHeight="false" outlineLevel="0" collapsed="false">
      <c r="A755" s="15"/>
      <c r="B755" s="15"/>
      <c r="C755" s="15"/>
      <c r="D755" s="15"/>
      <c r="E755" s="15"/>
      <c r="F755" s="15"/>
      <c r="G755" s="16" t="str">
        <f aca="false">IF(OR(E755="",F755=""),"",IF(E755=F755,"Yes","No"))</f>
        <v/>
      </c>
      <c r="H755" s="15"/>
      <c r="I755" s="15"/>
      <c r="J755" s="15"/>
      <c r="K755" s="15"/>
    </row>
    <row r="756" customFormat="false" ht="15" hidden="false" customHeight="false" outlineLevel="0" collapsed="false">
      <c r="A756" s="15"/>
      <c r="B756" s="15"/>
      <c r="C756" s="15"/>
      <c r="D756" s="15"/>
      <c r="E756" s="15"/>
      <c r="F756" s="15"/>
      <c r="G756" s="16" t="str">
        <f aca="false">IF(OR(E756="",F756=""),"",IF(E756=F756,"Yes","No"))</f>
        <v/>
      </c>
      <c r="H756" s="15"/>
      <c r="I756" s="15"/>
      <c r="J756" s="15"/>
      <c r="K756" s="15"/>
    </row>
    <row r="757" customFormat="false" ht="15" hidden="false" customHeight="false" outlineLevel="0" collapsed="false">
      <c r="A757" s="15"/>
      <c r="B757" s="15"/>
      <c r="C757" s="15"/>
      <c r="D757" s="15"/>
      <c r="E757" s="15"/>
      <c r="F757" s="15"/>
      <c r="G757" s="16" t="str">
        <f aca="false">IF(OR(E757="",F757=""),"",IF(E757=F757,"Yes","No"))</f>
        <v/>
      </c>
      <c r="H757" s="15"/>
      <c r="I757" s="15"/>
      <c r="J757" s="15"/>
      <c r="K757" s="15"/>
    </row>
    <row r="758" customFormat="false" ht="15" hidden="false" customHeight="false" outlineLevel="0" collapsed="false">
      <c r="A758" s="15"/>
      <c r="B758" s="15"/>
      <c r="C758" s="15"/>
      <c r="D758" s="15"/>
      <c r="E758" s="15"/>
      <c r="F758" s="15"/>
      <c r="G758" s="16" t="str">
        <f aca="false">IF(OR(E758="",F758=""),"",IF(E758=F758,"Yes","No"))</f>
        <v/>
      </c>
      <c r="H758" s="15"/>
      <c r="I758" s="15"/>
      <c r="J758" s="15"/>
      <c r="K758" s="15"/>
    </row>
    <row r="759" customFormat="false" ht="15" hidden="false" customHeight="false" outlineLevel="0" collapsed="false">
      <c r="A759" s="15"/>
      <c r="B759" s="15"/>
      <c r="C759" s="15"/>
      <c r="D759" s="15"/>
      <c r="E759" s="15"/>
      <c r="F759" s="15"/>
      <c r="G759" s="16" t="str">
        <f aca="false">IF(OR(E759="",F759=""),"",IF(E759=F759,"Yes","No"))</f>
        <v/>
      </c>
      <c r="H759" s="15"/>
      <c r="I759" s="15"/>
      <c r="J759" s="15"/>
      <c r="K759" s="15"/>
    </row>
    <row r="760" customFormat="false" ht="15" hidden="false" customHeight="false" outlineLevel="0" collapsed="false">
      <c r="A760" s="15"/>
      <c r="B760" s="15"/>
      <c r="C760" s="15"/>
      <c r="D760" s="15"/>
      <c r="E760" s="15"/>
      <c r="F760" s="15"/>
      <c r="G760" s="16" t="str">
        <f aca="false">IF(OR(E760="",F760=""),"",IF(E760=F760,"Yes","No"))</f>
        <v/>
      </c>
      <c r="H760" s="15"/>
      <c r="I760" s="15"/>
      <c r="J760" s="15"/>
      <c r="K760" s="15"/>
    </row>
    <row r="761" customFormat="false" ht="15" hidden="false" customHeight="false" outlineLevel="0" collapsed="false">
      <c r="A761" s="15"/>
      <c r="B761" s="15"/>
      <c r="C761" s="15"/>
      <c r="D761" s="15"/>
      <c r="E761" s="15"/>
      <c r="F761" s="15"/>
      <c r="G761" s="16" t="str">
        <f aca="false">IF(OR(E761="",F761=""),"",IF(E761=F761,"Yes","No"))</f>
        <v/>
      </c>
      <c r="H761" s="15"/>
      <c r="I761" s="15"/>
      <c r="J761" s="15"/>
      <c r="K761" s="15"/>
    </row>
    <row r="762" customFormat="false" ht="15" hidden="false" customHeight="false" outlineLevel="0" collapsed="false">
      <c r="A762" s="15"/>
      <c r="B762" s="15"/>
      <c r="C762" s="15"/>
      <c r="D762" s="15"/>
      <c r="E762" s="15"/>
      <c r="F762" s="15"/>
      <c r="G762" s="16" t="str">
        <f aca="false">IF(OR(E762="",F762=""),"",IF(E762=F762,"Yes","No"))</f>
        <v/>
      </c>
      <c r="H762" s="15"/>
      <c r="I762" s="15"/>
      <c r="J762" s="15"/>
      <c r="K762" s="15"/>
    </row>
    <row r="763" customFormat="false" ht="15" hidden="false" customHeight="false" outlineLevel="0" collapsed="false">
      <c r="A763" s="15"/>
      <c r="B763" s="15"/>
      <c r="C763" s="15"/>
      <c r="D763" s="15"/>
      <c r="E763" s="15"/>
      <c r="F763" s="15"/>
      <c r="G763" s="16" t="str">
        <f aca="false">IF(OR(E763="",F763=""),"",IF(E763=F763,"Yes","No"))</f>
        <v/>
      </c>
      <c r="H763" s="15"/>
      <c r="I763" s="15"/>
      <c r="J763" s="15"/>
      <c r="K763" s="15"/>
    </row>
    <row r="764" customFormat="false" ht="15" hidden="false" customHeight="false" outlineLevel="0" collapsed="false">
      <c r="A764" s="15"/>
      <c r="B764" s="15"/>
      <c r="C764" s="15"/>
      <c r="D764" s="15"/>
      <c r="E764" s="15"/>
      <c r="F764" s="15"/>
      <c r="G764" s="16" t="str">
        <f aca="false">IF(OR(E764="",F764=""),"",IF(E764=F764,"Yes","No"))</f>
        <v/>
      </c>
      <c r="H764" s="15"/>
      <c r="I764" s="15"/>
      <c r="J764" s="15"/>
      <c r="K764" s="15"/>
    </row>
    <row r="765" customFormat="false" ht="15" hidden="false" customHeight="false" outlineLevel="0" collapsed="false">
      <c r="A765" s="15"/>
      <c r="B765" s="15"/>
      <c r="C765" s="15"/>
      <c r="D765" s="15"/>
      <c r="E765" s="15"/>
      <c r="F765" s="15"/>
      <c r="G765" s="16" t="str">
        <f aca="false">IF(OR(E765="",F765=""),"",IF(E765=F765,"Yes","No"))</f>
        <v/>
      </c>
      <c r="H765" s="15"/>
      <c r="I765" s="15"/>
      <c r="J765" s="15"/>
      <c r="K765" s="15"/>
    </row>
    <row r="766" customFormat="false" ht="15" hidden="false" customHeight="false" outlineLevel="0" collapsed="false">
      <c r="A766" s="15"/>
      <c r="B766" s="15"/>
      <c r="C766" s="15"/>
      <c r="D766" s="15"/>
      <c r="E766" s="15"/>
      <c r="F766" s="15"/>
      <c r="G766" s="16" t="str">
        <f aca="false">IF(OR(E766="",F766=""),"",IF(E766=F766,"Yes","No"))</f>
        <v/>
      </c>
      <c r="H766" s="15"/>
      <c r="I766" s="15"/>
      <c r="J766" s="15"/>
      <c r="K766" s="15"/>
    </row>
    <row r="767" customFormat="false" ht="15" hidden="false" customHeight="false" outlineLevel="0" collapsed="false">
      <c r="A767" s="15"/>
      <c r="B767" s="15"/>
      <c r="C767" s="15"/>
      <c r="D767" s="15"/>
      <c r="E767" s="15"/>
      <c r="F767" s="15"/>
      <c r="G767" s="16" t="str">
        <f aca="false">IF(OR(E767="",F767=""),"",IF(E767=F767,"Yes","No"))</f>
        <v/>
      </c>
      <c r="H767" s="15"/>
      <c r="I767" s="15"/>
      <c r="J767" s="15"/>
      <c r="K767" s="15"/>
    </row>
    <row r="768" customFormat="false" ht="15" hidden="false" customHeight="false" outlineLevel="0" collapsed="false">
      <c r="A768" s="15"/>
      <c r="B768" s="15"/>
      <c r="C768" s="15"/>
      <c r="D768" s="15"/>
      <c r="E768" s="15"/>
      <c r="F768" s="15"/>
      <c r="G768" s="16" t="str">
        <f aca="false">IF(OR(E768="",F768=""),"",IF(E768=F768,"Yes","No"))</f>
        <v/>
      </c>
      <c r="H768" s="15"/>
      <c r="I768" s="15"/>
      <c r="J768" s="15"/>
      <c r="K768" s="15"/>
    </row>
    <row r="769" customFormat="false" ht="15" hidden="false" customHeight="false" outlineLevel="0" collapsed="false">
      <c r="A769" s="15"/>
      <c r="B769" s="15"/>
      <c r="C769" s="15"/>
      <c r="D769" s="15"/>
      <c r="E769" s="15"/>
      <c r="F769" s="15"/>
      <c r="G769" s="16" t="str">
        <f aca="false">IF(OR(E769="",F769=""),"",IF(E769=F769,"Yes","No"))</f>
        <v/>
      </c>
      <c r="H769" s="15"/>
      <c r="I769" s="15"/>
      <c r="J769" s="15"/>
      <c r="K769" s="15"/>
    </row>
    <row r="770" customFormat="false" ht="15" hidden="false" customHeight="false" outlineLevel="0" collapsed="false">
      <c r="A770" s="15"/>
      <c r="B770" s="15"/>
      <c r="C770" s="15"/>
      <c r="D770" s="15"/>
      <c r="E770" s="15"/>
      <c r="F770" s="15"/>
      <c r="G770" s="16" t="str">
        <f aca="false">IF(OR(E770="",F770=""),"",IF(E770=F770,"Yes","No"))</f>
        <v/>
      </c>
      <c r="H770" s="15"/>
      <c r="I770" s="15"/>
      <c r="J770" s="15"/>
      <c r="K770" s="15"/>
    </row>
    <row r="771" customFormat="false" ht="15" hidden="false" customHeight="false" outlineLevel="0" collapsed="false">
      <c r="A771" s="15"/>
      <c r="B771" s="15"/>
      <c r="C771" s="15"/>
      <c r="D771" s="15"/>
      <c r="E771" s="15"/>
      <c r="F771" s="15"/>
      <c r="G771" s="16" t="str">
        <f aca="false">IF(OR(E771="",F771=""),"",IF(E771=F771,"Yes","No"))</f>
        <v/>
      </c>
      <c r="H771" s="15"/>
      <c r="I771" s="15"/>
      <c r="J771" s="15"/>
      <c r="K771" s="15"/>
    </row>
    <row r="772" customFormat="false" ht="15" hidden="false" customHeight="false" outlineLevel="0" collapsed="false">
      <c r="A772" s="15"/>
      <c r="B772" s="15"/>
      <c r="C772" s="15"/>
      <c r="D772" s="15"/>
      <c r="E772" s="15"/>
      <c r="F772" s="15"/>
      <c r="G772" s="16" t="str">
        <f aca="false">IF(OR(E772="",F772=""),"",IF(E772=F772,"Yes","No"))</f>
        <v/>
      </c>
      <c r="H772" s="15"/>
      <c r="I772" s="15"/>
      <c r="J772" s="15"/>
      <c r="K772" s="15"/>
    </row>
    <row r="773" customFormat="false" ht="15" hidden="false" customHeight="false" outlineLevel="0" collapsed="false">
      <c r="A773" s="15"/>
      <c r="B773" s="15"/>
      <c r="C773" s="15"/>
      <c r="D773" s="15"/>
      <c r="E773" s="15"/>
      <c r="F773" s="15"/>
      <c r="G773" s="16" t="str">
        <f aca="false">IF(OR(E773="",F773=""),"",IF(E773=F773,"Yes","No"))</f>
        <v/>
      </c>
      <c r="H773" s="15"/>
      <c r="I773" s="15"/>
      <c r="J773" s="15"/>
      <c r="K773" s="15"/>
    </row>
    <row r="774" customFormat="false" ht="15" hidden="false" customHeight="false" outlineLevel="0" collapsed="false">
      <c r="A774" s="15"/>
      <c r="B774" s="15"/>
      <c r="C774" s="15"/>
      <c r="D774" s="15"/>
      <c r="E774" s="15"/>
      <c r="F774" s="15"/>
      <c r="G774" s="16" t="str">
        <f aca="false">IF(OR(E774="",F774=""),"",IF(E774=F774,"Yes","No"))</f>
        <v/>
      </c>
      <c r="H774" s="15"/>
      <c r="I774" s="15"/>
      <c r="J774" s="15"/>
      <c r="K774" s="15"/>
    </row>
    <row r="775" customFormat="false" ht="15" hidden="false" customHeight="false" outlineLevel="0" collapsed="false">
      <c r="A775" s="15"/>
      <c r="B775" s="15"/>
      <c r="C775" s="15"/>
      <c r="D775" s="15"/>
      <c r="E775" s="15"/>
      <c r="F775" s="15"/>
      <c r="G775" s="16" t="str">
        <f aca="false">IF(OR(E775="",F775=""),"",IF(E775=F775,"Yes","No"))</f>
        <v/>
      </c>
      <c r="H775" s="15"/>
      <c r="I775" s="15"/>
      <c r="J775" s="15"/>
      <c r="K775" s="15"/>
    </row>
    <row r="776" customFormat="false" ht="15" hidden="false" customHeight="false" outlineLevel="0" collapsed="false">
      <c r="A776" s="15"/>
      <c r="B776" s="15"/>
      <c r="C776" s="15"/>
      <c r="D776" s="15"/>
      <c r="E776" s="15"/>
      <c r="F776" s="15"/>
      <c r="G776" s="16" t="str">
        <f aca="false">IF(OR(E776="",F776=""),"",IF(E776=F776,"Yes","No"))</f>
        <v/>
      </c>
      <c r="H776" s="15"/>
      <c r="I776" s="15"/>
      <c r="J776" s="15"/>
      <c r="K776" s="15"/>
    </row>
    <row r="777" customFormat="false" ht="15" hidden="false" customHeight="false" outlineLevel="0" collapsed="false">
      <c r="A777" s="15"/>
      <c r="B777" s="15"/>
      <c r="C777" s="15"/>
      <c r="D777" s="15"/>
      <c r="E777" s="15"/>
      <c r="F777" s="15"/>
      <c r="G777" s="16" t="str">
        <f aca="false">IF(OR(E777="",F777=""),"",IF(E777=F777,"Yes","No"))</f>
        <v/>
      </c>
      <c r="H777" s="15"/>
      <c r="I777" s="15"/>
      <c r="J777" s="15"/>
      <c r="K777" s="15"/>
    </row>
    <row r="778" customFormat="false" ht="15" hidden="false" customHeight="false" outlineLevel="0" collapsed="false">
      <c r="A778" s="15"/>
      <c r="B778" s="15"/>
      <c r="C778" s="15"/>
      <c r="D778" s="15"/>
      <c r="E778" s="15"/>
      <c r="F778" s="15"/>
      <c r="G778" s="16" t="str">
        <f aca="false">IF(OR(E778="",F778=""),"",IF(E778=F778,"Yes","No"))</f>
        <v/>
      </c>
      <c r="H778" s="15"/>
      <c r="I778" s="15"/>
      <c r="J778" s="15"/>
      <c r="K778" s="15"/>
    </row>
    <row r="779" customFormat="false" ht="15" hidden="false" customHeight="false" outlineLevel="0" collapsed="false">
      <c r="A779" s="15"/>
      <c r="B779" s="15"/>
      <c r="C779" s="15"/>
      <c r="D779" s="15"/>
      <c r="E779" s="15"/>
      <c r="F779" s="15"/>
      <c r="G779" s="16" t="str">
        <f aca="false">IF(OR(E779="",F779=""),"",IF(E779=F779,"Yes","No"))</f>
        <v/>
      </c>
      <c r="H779" s="15"/>
      <c r="I779" s="15"/>
      <c r="J779" s="15"/>
      <c r="K779" s="15"/>
    </row>
    <row r="780" customFormat="false" ht="15" hidden="false" customHeight="false" outlineLevel="0" collapsed="false">
      <c r="A780" s="15"/>
      <c r="B780" s="15"/>
      <c r="C780" s="15"/>
      <c r="D780" s="15"/>
      <c r="E780" s="15"/>
      <c r="F780" s="15"/>
      <c r="G780" s="16" t="str">
        <f aca="false">IF(OR(E780="",F780=""),"",IF(E780=F780,"Yes","No"))</f>
        <v/>
      </c>
      <c r="H780" s="15"/>
      <c r="I780" s="15"/>
      <c r="J780" s="15"/>
      <c r="K780" s="15"/>
    </row>
    <row r="781" customFormat="false" ht="15" hidden="false" customHeight="false" outlineLevel="0" collapsed="false">
      <c r="A781" s="15"/>
      <c r="B781" s="15"/>
      <c r="C781" s="15"/>
      <c r="D781" s="15"/>
      <c r="E781" s="15"/>
      <c r="F781" s="15"/>
      <c r="G781" s="16" t="str">
        <f aca="false">IF(OR(E781="",F781=""),"",IF(E781=F781,"Yes","No"))</f>
        <v/>
      </c>
      <c r="H781" s="15"/>
      <c r="I781" s="15"/>
      <c r="J781" s="15"/>
      <c r="K781" s="15"/>
    </row>
    <row r="782" customFormat="false" ht="15" hidden="false" customHeight="false" outlineLevel="0" collapsed="false">
      <c r="A782" s="15"/>
      <c r="B782" s="15"/>
      <c r="C782" s="15"/>
      <c r="D782" s="15"/>
      <c r="E782" s="15"/>
      <c r="F782" s="15"/>
      <c r="G782" s="16" t="str">
        <f aca="false">IF(OR(E782="",F782=""),"",IF(E782=F782,"Yes","No"))</f>
        <v/>
      </c>
      <c r="H782" s="15"/>
      <c r="I782" s="15"/>
      <c r="J782" s="15"/>
      <c r="K782" s="15"/>
    </row>
    <row r="783" customFormat="false" ht="15" hidden="false" customHeight="false" outlineLevel="0" collapsed="false">
      <c r="A783" s="15"/>
      <c r="B783" s="15"/>
      <c r="C783" s="15"/>
      <c r="D783" s="15"/>
      <c r="E783" s="15"/>
      <c r="F783" s="15"/>
      <c r="G783" s="16" t="str">
        <f aca="false">IF(OR(E783="",F783=""),"",IF(E783=F783,"Yes","No"))</f>
        <v/>
      </c>
      <c r="H783" s="15"/>
      <c r="I783" s="15"/>
      <c r="J783" s="15"/>
      <c r="K783" s="15"/>
    </row>
    <row r="784" customFormat="false" ht="15" hidden="false" customHeight="false" outlineLevel="0" collapsed="false">
      <c r="A784" s="15"/>
      <c r="B784" s="15"/>
      <c r="C784" s="15"/>
      <c r="D784" s="15"/>
      <c r="E784" s="15"/>
      <c r="F784" s="15"/>
      <c r="G784" s="16" t="str">
        <f aca="false">IF(OR(E784="",F784=""),"",IF(E784=F784,"Yes","No"))</f>
        <v/>
      </c>
      <c r="H784" s="15"/>
      <c r="I784" s="15"/>
      <c r="J784" s="15"/>
      <c r="K784" s="15"/>
    </row>
    <row r="785" customFormat="false" ht="15" hidden="false" customHeight="false" outlineLevel="0" collapsed="false">
      <c r="A785" s="15"/>
      <c r="B785" s="15"/>
      <c r="C785" s="15"/>
      <c r="D785" s="15"/>
      <c r="E785" s="15"/>
      <c r="F785" s="15"/>
      <c r="G785" s="16" t="str">
        <f aca="false">IF(OR(E785="",F785=""),"",IF(E785=F785,"Yes","No"))</f>
        <v/>
      </c>
      <c r="H785" s="15"/>
      <c r="I785" s="15"/>
      <c r="J785" s="15"/>
      <c r="K785" s="15"/>
    </row>
    <row r="786" customFormat="false" ht="15" hidden="false" customHeight="false" outlineLevel="0" collapsed="false">
      <c r="A786" s="15"/>
      <c r="B786" s="15"/>
      <c r="C786" s="15"/>
      <c r="D786" s="15"/>
      <c r="E786" s="15"/>
      <c r="F786" s="15"/>
      <c r="G786" s="16" t="str">
        <f aca="false">IF(OR(E786="",F786=""),"",IF(E786=F786,"Yes","No"))</f>
        <v/>
      </c>
      <c r="H786" s="15"/>
      <c r="I786" s="15"/>
      <c r="J786" s="15"/>
      <c r="K786" s="15"/>
    </row>
    <row r="787" customFormat="false" ht="15" hidden="false" customHeight="false" outlineLevel="0" collapsed="false">
      <c r="A787" s="15"/>
      <c r="B787" s="15"/>
      <c r="C787" s="15"/>
      <c r="D787" s="15"/>
      <c r="E787" s="15"/>
      <c r="F787" s="15"/>
      <c r="G787" s="16" t="str">
        <f aca="false">IF(OR(E787="",F787=""),"",IF(E787=F787,"Yes","No"))</f>
        <v/>
      </c>
      <c r="H787" s="15"/>
      <c r="I787" s="15"/>
      <c r="J787" s="15"/>
      <c r="K787" s="15"/>
    </row>
    <row r="788" customFormat="false" ht="15" hidden="false" customHeight="false" outlineLevel="0" collapsed="false">
      <c r="A788" s="15"/>
      <c r="B788" s="15"/>
      <c r="C788" s="15"/>
      <c r="D788" s="15"/>
      <c r="E788" s="15"/>
      <c r="F788" s="15"/>
      <c r="G788" s="16" t="str">
        <f aca="false">IF(OR(E788="",F788=""),"",IF(E788=F788,"Yes","No"))</f>
        <v/>
      </c>
      <c r="H788" s="15"/>
      <c r="I788" s="15"/>
      <c r="J788" s="15"/>
      <c r="K788" s="15"/>
    </row>
    <row r="789" customFormat="false" ht="15" hidden="false" customHeight="false" outlineLevel="0" collapsed="false">
      <c r="A789" s="15"/>
      <c r="B789" s="15"/>
      <c r="C789" s="15"/>
      <c r="D789" s="15"/>
      <c r="E789" s="15"/>
      <c r="F789" s="15"/>
      <c r="G789" s="16" t="str">
        <f aca="false">IF(OR(E789="",F789=""),"",IF(E789=F789,"Yes","No"))</f>
        <v/>
      </c>
      <c r="H789" s="15"/>
      <c r="I789" s="15"/>
      <c r="J789" s="15"/>
      <c r="K789" s="15"/>
    </row>
    <row r="790" customFormat="false" ht="15" hidden="false" customHeight="false" outlineLevel="0" collapsed="false">
      <c r="A790" s="15"/>
      <c r="B790" s="15"/>
      <c r="C790" s="15"/>
      <c r="D790" s="15"/>
      <c r="E790" s="15"/>
      <c r="F790" s="15"/>
      <c r="G790" s="16" t="str">
        <f aca="false">IF(OR(E790="",F790=""),"",IF(E790=F790,"Yes","No"))</f>
        <v/>
      </c>
      <c r="H790" s="15"/>
      <c r="I790" s="15"/>
      <c r="J790" s="15"/>
      <c r="K790" s="15"/>
    </row>
    <row r="791" customFormat="false" ht="15" hidden="false" customHeight="false" outlineLevel="0" collapsed="false">
      <c r="A791" s="15"/>
      <c r="B791" s="15"/>
      <c r="C791" s="15"/>
      <c r="D791" s="15"/>
      <c r="E791" s="15"/>
      <c r="F791" s="15"/>
      <c r="G791" s="16" t="str">
        <f aca="false">IF(OR(E791="",F791=""),"",IF(E791=F791,"Yes","No"))</f>
        <v/>
      </c>
      <c r="H791" s="15"/>
      <c r="I791" s="15"/>
      <c r="J791" s="15"/>
      <c r="K791" s="15"/>
    </row>
    <row r="792" customFormat="false" ht="15" hidden="false" customHeight="false" outlineLevel="0" collapsed="false">
      <c r="A792" s="15"/>
      <c r="B792" s="15"/>
      <c r="C792" s="15"/>
      <c r="D792" s="15"/>
      <c r="E792" s="15"/>
      <c r="F792" s="15"/>
      <c r="G792" s="16" t="str">
        <f aca="false">IF(OR(E792="",F792=""),"",IF(E792=F792,"Yes","No"))</f>
        <v/>
      </c>
      <c r="H792" s="15"/>
      <c r="I792" s="15"/>
      <c r="J792" s="15"/>
      <c r="K792" s="15"/>
    </row>
    <row r="793" customFormat="false" ht="15" hidden="false" customHeight="false" outlineLevel="0" collapsed="false">
      <c r="A793" s="15"/>
      <c r="B793" s="15"/>
      <c r="C793" s="15"/>
      <c r="D793" s="15"/>
      <c r="E793" s="15"/>
      <c r="F793" s="15"/>
      <c r="G793" s="16" t="str">
        <f aca="false">IF(OR(E793="",F793=""),"",IF(E793=F793,"Yes","No"))</f>
        <v/>
      </c>
      <c r="H793" s="15"/>
      <c r="I793" s="15"/>
      <c r="J793" s="15"/>
      <c r="K793" s="15"/>
    </row>
    <row r="794" customFormat="false" ht="15" hidden="false" customHeight="false" outlineLevel="0" collapsed="false">
      <c r="A794" s="15"/>
      <c r="B794" s="15"/>
      <c r="C794" s="15"/>
      <c r="D794" s="15"/>
      <c r="E794" s="15"/>
      <c r="F794" s="15"/>
      <c r="G794" s="16" t="str">
        <f aca="false">IF(OR(E794="",F794=""),"",IF(E794=F794,"Yes","No"))</f>
        <v/>
      </c>
      <c r="H794" s="15"/>
      <c r="I794" s="15"/>
      <c r="J794" s="15"/>
      <c r="K794" s="15"/>
    </row>
    <row r="795" customFormat="false" ht="15" hidden="false" customHeight="false" outlineLevel="0" collapsed="false">
      <c r="A795" s="15"/>
      <c r="B795" s="15"/>
      <c r="C795" s="15"/>
      <c r="D795" s="15"/>
      <c r="E795" s="15"/>
      <c r="F795" s="15"/>
      <c r="G795" s="16" t="str">
        <f aca="false">IF(OR(E795="",F795=""),"",IF(E795=F795,"Yes","No"))</f>
        <v/>
      </c>
      <c r="H795" s="15"/>
      <c r="I795" s="15"/>
      <c r="J795" s="15"/>
      <c r="K795" s="15"/>
    </row>
    <row r="796" customFormat="false" ht="15" hidden="false" customHeight="false" outlineLevel="0" collapsed="false">
      <c r="A796" s="15"/>
      <c r="B796" s="15"/>
      <c r="C796" s="15"/>
      <c r="D796" s="15"/>
      <c r="E796" s="15"/>
      <c r="F796" s="15"/>
      <c r="G796" s="16" t="str">
        <f aca="false">IF(OR(E796="",F796=""),"",IF(E796=F796,"Yes","No"))</f>
        <v/>
      </c>
      <c r="H796" s="15"/>
      <c r="I796" s="15"/>
      <c r="J796" s="15"/>
      <c r="K796" s="15"/>
    </row>
    <row r="797" customFormat="false" ht="15" hidden="false" customHeight="false" outlineLevel="0" collapsed="false">
      <c r="A797" s="15"/>
      <c r="B797" s="15"/>
      <c r="C797" s="15"/>
      <c r="D797" s="15"/>
      <c r="E797" s="15"/>
      <c r="F797" s="15"/>
      <c r="G797" s="16" t="str">
        <f aca="false">IF(OR(E797="",F797=""),"",IF(E797=F797,"Yes","No"))</f>
        <v/>
      </c>
      <c r="H797" s="15"/>
      <c r="I797" s="15"/>
      <c r="J797" s="15"/>
      <c r="K797" s="15"/>
    </row>
    <row r="798" customFormat="false" ht="15" hidden="false" customHeight="false" outlineLevel="0" collapsed="false">
      <c r="A798" s="15"/>
      <c r="B798" s="15"/>
      <c r="C798" s="15"/>
      <c r="D798" s="15"/>
      <c r="E798" s="15"/>
      <c r="F798" s="15"/>
      <c r="G798" s="16" t="str">
        <f aca="false">IF(OR(E798="",F798=""),"",IF(E798=F798,"Yes","No"))</f>
        <v/>
      </c>
      <c r="H798" s="15"/>
      <c r="I798" s="15"/>
      <c r="J798" s="15"/>
      <c r="K798" s="15"/>
    </row>
    <row r="799" customFormat="false" ht="15" hidden="false" customHeight="false" outlineLevel="0" collapsed="false">
      <c r="A799" s="15"/>
      <c r="B799" s="15"/>
      <c r="C799" s="15"/>
      <c r="D799" s="15"/>
      <c r="E799" s="15"/>
      <c r="F799" s="15"/>
      <c r="G799" s="16" t="str">
        <f aca="false">IF(OR(E799="",F799=""),"",IF(E799=F799,"Yes","No"))</f>
        <v/>
      </c>
      <c r="H799" s="15"/>
      <c r="I799" s="15"/>
      <c r="J799" s="15"/>
      <c r="K799" s="15"/>
    </row>
    <row r="800" customFormat="false" ht="15" hidden="false" customHeight="false" outlineLevel="0" collapsed="false">
      <c r="A800" s="15"/>
      <c r="B800" s="15"/>
      <c r="C800" s="15"/>
      <c r="D800" s="15"/>
      <c r="E800" s="15"/>
      <c r="F800" s="15"/>
      <c r="G800" s="16" t="str">
        <f aca="false">IF(OR(E800="",F800=""),"",IF(E800=F800,"Yes","No"))</f>
        <v/>
      </c>
      <c r="H800" s="15"/>
      <c r="I800" s="15"/>
      <c r="J800" s="15"/>
      <c r="K800" s="15"/>
    </row>
    <row r="801" customFormat="false" ht="15" hidden="false" customHeight="false" outlineLevel="0" collapsed="false">
      <c r="A801" s="15"/>
      <c r="B801" s="15"/>
      <c r="C801" s="15"/>
      <c r="D801" s="15"/>
      <c r="E801" s="15"/>
      <c r="F801" s="15"/>
      <c r="G801" s="16" t="str">
        <f aca="false">IF(OR(E801="",F801=""),"",IF(E801=F801,"Yes","No"))</f>
        <v/>
      </c>
      <c r="H801" s="15"/>
      <c r="I801" s="15"/>
      <c r="J801" s="15"/>
      <c r="K801" s="15"/>
    </row>
    <row r="802" customFormat="false" ht="15" hidden="false" customHeight="false" outlineLevel="0" collapsed="false">
      <c r="A802" s="15"/>
      <c r="B802" s="15"/>
      <c r="C802" s="15"/>
      <c r="D802" s="15"/>
      <c r="E802" s="15"/>
      <c r="F802" s="15"/>
      <c r="G802" s="16" t="str">
        <f aca="false">IF(OR(E802="",F802=""),"",IF(E802=F802,"Yes","No"))</f>
        <v/>
      </c>
      <c r="H802" s="15"/>
      <c r="I802" s="15"/>
      <c r="J802" s="15"/>
      <c r="K802" s="15"/>
    </row>
    <row r="803" customFormat="false" ht="15" hidden="false" customHeight="false" outlineLevel="0" collapsed="false">
      <c r="A803" s="15"/>
      <c r="B803" s="15"/>
      <c r="C803" s="15"/>
      <c r="D803" s="15"/>
      <c r="E803" s="15"/>
      <c r="F803" s="15"/>
      <c r="G803" s="16" t="str">
        <f aca="false">IF(OR(E803="",F803=""),"",IF(E803=F803,"Yes","No"))</f>
        <v/>
      </c>
      <c r="H803" s="15"/>
      <c r="I803" s="15"/>
      <c r="J803" s="15"/>
      <c r="K803" s="15"/>
    </row>
    <row r="804" customFormat="false" ht="15" hidden="false" customHeight="false" outlineLevel="0" collapsed="false">
      <c r="A804" s="15"/>
      <c r="B804" s="15"/>
      <c r="C804" s="15"/>
      <c r="D804" s="15"/>
      <c r="E804" s="15"/>
      <c r="F804" s="15"/>
      <c r="G804" s="16" t="str">
        <f aca="false">IF(OR(E804="",F804=""),"",IF(E804=F804,"Yes","No"))</f>
        <v/>
      </c>
      <c r="H804" s="15"/>
      <c r="I804" s="15"/>
      <c r="J804" s="15"/>
      <c r="K804" s="15"/>
    </row>
    <row r="805" customFormat="false" ht="15" hidden="false" customHeight="false" outlineLevel="0" collapsed="false">
      <c r="A805" s="15"/>
      <c r="B805" s="15"/>
      <c r="C805" s="15"/>
      <c r="D805" s="15"/>
      <c r="E805" s="15"/>
      <c r="F805" s="15"/>
      <c r="G805" s="16" t="str">
        <f aca="false">IF(OR(E805="",F805=""),"",IF(E805=F805,"Yes","No"))</f>
        <v/>
      </c>
      <c r="H805" s="15"/>
      <c r="I805" s="15"/>
      <c r="J805" s="15"/>
      <c r="K805" s="15"/>
    </row>
    <row r="806" customFormat="false" ht="15" hidden="false" customHeight="false" outlineLevel="0" collapsed="false">
      <c r="A806" s="15"/>
      <c r="B806" s="15"/>
      <c r="C806" s="15"/>
      <c r="D806" s="15"/>
      <c r="E806" s="15"/>
      <c r="F806" s="15"/>
      <c r="G806" s="16" t="str">
        <f aca="false">IF(OR(E806="",F806=""),"",IF(E806=F806,"Yes","No"))</f>
        <v/>
      </c>
      <c r="H806" s="15"/>
      <c r="I806" s="15"/>
      <c r="J806" s="15"/>
      <c r="K806" s="15"/>
    </row>
    <row r="807" customFormat="false" ht="15" hidden="false" customHeight="false" outlineLevel="0" collapsed="false">
      <c r="A807" s="15"/>
      <c r="B807" s="15"/>
      <c r="C807" s="15"/>
      <c r="D807" s="15"/>
      <c r="E807" s="15"/>
      <c r="F807" s="15"/>
      <c r="G807" s="16" t="str">
        <f aca="false">IF(OR(E807="",F807=""),"",IF(E807=F807,"Yes","No"))</f>
        <v/>
      </c>
      <c r="H807" s="15"/>
      <c r="I807" s="15"/>
      <c r="J807" s="15"/>
      <c r="K807" s="15"/>
    </row>
    <row r="808" customFormat="false" ht="15" hidden="false" customHeight="false" outlineLevel="0" collapsed="false">
      <c r="A808" s="15"/>
      <c r="B808" s="15"/>
      <c r="C808" s="15"/>
      <c r="D808" s="15"/>
      <c r="E808" s="15"/>
      <c r="F808" s="15"/>
      <c r="G808" s="16" t="str">
        <f aca="false">IF(OR(E808="",F808=""),"",IF(E808=F808,"Yes","No"))</f>
        <v/>
      </c>
      <c r="H808" s="15"/>
      <c r="I808" s="15"/>
      <c r="J808" s="15"/>
      <c r="K808" s="15"/>
    </row>
    <row r="809" customFormat="false" ht="15" hidden="false" customHeight="false" outlineLevel="0" collapsed="false">
      <c r="A809" s="15"/>
      <c r="B809" s="15"/>
      <c r="C809" s="15"/>
      <c r="D809" s="15"/>
      <c r="E809" s="15"/>
      <c r="F809" s="15"/>
      <c r="G809" s="16" t="str">
        <f aca="false">IF(OR(E809="",F809=""),"",IF(E809=F809,"Yes","No"))</f>
        <v/>
      </c>
      <c r="H809" s="15"/>
      <c r="I809" s="15"/>
      <c r="J809" s="15"/>
      <c r="K809" s="15"/>
    </row>
    <row r="810" customFormat="false" ht="15" hidden="false" customHeight="false" outlineLevel="0" collapsed="false">
      <c r="A810" s="15"/>
      <c r="B810" s="15"/>
      <c r="C810" s="15"/>
      <c r="D810" s="15"/>
      <c r="E810" s="15"/>
      <c r="F810" s="15"/>
      <c r="G810" s="16" t="str">
        <f aca="false">IF(OR(E810="",F810=""),"",IF(E810=F810,"Yes","No"))</f>
        <v/>
      </c>
      <c r="H810" s="15"/>
      <c r="I810" s="15"/>
      <c r="J810" s="15"/>
      <c r="K810" s="15"/>
    </row>
    <row r="811" customFormat="false" ht="15" hidden="false" customHeight="false" outlineLevel="0" collapsed="false">
      <c r="A811" s="15"/>
      <c r="B811" s="15"/>
      <c r="C811" s="15"/>
      <c r="D811" s="15"/>
      <c r="E811" s="15"/>
      <c r="F811" s="15"/>
      <c r="G811" s="16" t="str">
        <f aca="false">IF(OR(E811="",F811=""),"",IF(E811=F811,"Yes","No"))</f>
        <v/>
      </c>
      <c r="H811" s="15"/>
      <c r="I811" s="15"/>
      <c r="J811" s="15"/>
      <c r="K811" s="15"/>
    </row>
    <row r="812" customFormat="false" ht="15" hidden="false" customHeight="false" outlineLevel="0" collapsed="false">
      <c r="A812" s="15"/>
      <c r="B812" s="15"/>
      <c r="C812" s="15"/>
      <c r="D812" s="15"/>
      <c r="E812" s="15"/>
      <c r="F812" s="15"/>
      <c r="G812" s="16" t="str">
        <f aca="false">IF(OR(E812="",F812=""),"",IF(E812=F812,"Yes","No"))</f>
        <v/>
      </c>
      <c r="H812" s="15"/>
      <c r="I812" s="15"/>
      <c r="J812" s="15"/>
      <c r="K812" s="15"/>
    </row>
    <row r="813" customFormat="false" ht="15" hidden="false" customHeight="false" outlineLevel="0" collapsed="false">
      <c r="A813" s="15"/>
      <c r="B813" s="15"/>
      <c r="C813" s="15"/>
      <c r="D813" s="15"/>
      <c r="E813" s="15"/>
      <c r="F813" s="15"/>
      <c r="G813" s="16" t="str">
        <f aca="false">IF(OR(E813="",F813=""),"",IF(E813=F813,"Yes","No"))</f>
        <v/>
      </c>
      <c r="H813" s="15"/>
      <c r="I813" s="15"/>
      <c r="J813" s="15"/>
      <c r="K813" s="15"/>
    </row>
    <row r="814" customFormat="false" ht="15" hidden="false" customHeight="false" outlineLevel="0" collapsed="false">
      <c r="A814" s="15"/>
      <c r="B814" s="15"/>
      <c r="C814" s="15"/>
      <c r="D814" s="15"/>
      <c r="E814" s="15"/>
      <c r="F814" s="15"/>
      <c r="G814" s="16" t="str">
        <f aca="false">IF(OR(E814="",F814=""),"",IF(E814=F814,"Yes","No"))</f>
        <v/>
      </c>
      <c r="H814" s="15"/>
      <c r="I814" s="15"/>
      <c r="J814" s="15"/>
      <c r="K814" s="15"/>
    </row>
    <row r="815" customFormat="false" ht="15" hidden="false" customHeight="false" outlineLevel="0" collapsed="false">
      <c r="A815" s="15"/>
      <c r="B815" s="15"/>
      <c r="C815" s="15"/>
      <c r="D815" s="15"/>
      <c r="E815" s="15"/>
      <c r="F815" s="15"/>
      <c r="G815" s="16" t="str">
        <f aca="false">IF(OR(E815="",F815=""),"",IF(E815=F815,"Yes","No"))</f>
        <v/>
      </c>
      <c r="H815" s="15"/>
      <c r="I815" s="15"/>
      <c r="J815" s="15"/>
      <c r="K815" s="15"/>
    </row>
    <row r="816" customFormat="false" ht="15" hidden="false" customHeight="false" outlineLevel="0" collapsed="false">
      <c r="A816" s="15"/>
      <c r="B816" s="15"/>
      <c r="C816" s="15"/>
      <c r="D816" s="15"/>
      <c r="E816" s="15"/>
      <c r="F816" s="15"/>
      <c r="G816" s="16" t="str">
        <f aca="false">IF(OR(E816="",F816=""),"",IF(E816=F816,"Yes","No"))</f>
        <v/>
      </c>
      <c r="H816" s="15"/>
      <c r="I816" s="15"/>
      <c r="J816" s="15"/>
      <c r="K816" s="15"/>
    </row>
    <row r="817" customFormat="false" ht="15" hidden="false" customHeight="false" outlineLevel="0" collapsed="false">
      <c r="A817" s="15"/>
      <c r="B817" s="15"/>
      <c r="C817" s="15"/>
      <c r="D817" s="15"/>
      <c r="E817" s="15"/>
      <c r="F817" s="15"/>
      <c r="G817" s="16" t="str">
        <f aca="false">IF(OR(E817="",F817=""),"",IF(E817=F817,"Yes","No"))</f>
        <v/>
      </c>
      <c r="H817" s="15"/>
      <c r="I817" s="15"/>
      <c r="J817" s="15"/>
      <c r="K817" s="15"/>
    </row>
    <row r="818" customFormat="false" ht="15" hidden="false" customHeight="false" outlineLevel="0" collapsed="false">
      <c r="A818" s="15"/>
      <c r="B818" s="15"/>
      <c r="C818" s="15"/>
      <c r="D818" s="15"/>
      <c r="E818" s="15"/>
      <c r="F818" s="15"/>
      <c r="G818" s="16" t="str">
        <f aca="false">IF(OR(E818="",F818=""),"",IF(E818=F818,"Yes","No"))</f>
        <v/>
      </c>
      <c r="H818" s="15"/>
      <c r="I818" s="15"/>
      <c r="J818" s="15"/>
      <c r="K818" s="15"/>
    </row>
    <row r="819" customFormat="false" ht="15" hidden="false" customHeight="false" outlineLevel="0" collapsed="false">
      <c r="A819" s="15"/>
      <c r="B819" s="15"/>
      <c r="C819" s="15"/>
      <c r="D819" s="15"/>
      <c r="E819" s="15"/>
      <c r="F819" s="15"/>
      <c r="G819" s="16" t="str">
        <f aca="false">IF(OR(E819="",F819=""),"",IF(E819=F819,"Yes","No"))</f>
        <v/>
      </c>
      <c r="H819" s="15"/>
      <c r="I819" s="15"/>
      <c r="J819" s="15"/>
      <c r="K819" s="15"/>
    </row>
    <row r="820" customFormat="false" ht="15" hidden="false" customHeight="false" outlineLevel="0" collapsed="false">
      <c r="A820" s="15"/>
      <c r="B820" s="15"/>
      <c r="C820" s="15"/>
      <c r="D820" s="15"/>
      <c r="E820" s="15"/>
      <c r="F820" s="15"/>
      <c r="G820" s="16" t="str">
        <f aca="false">IF(OR(E820="",F820=""),"",IF(E820=F820,"Yes","No"))</f>
        <v/>
      </c>
      <c r="H820" s="15"/>
      <c r="I820" s="15"/>
      <c r="J820" s="15"/>
      <c r="K820" s="15"/>
    </row>
    <row r="821" customFormat="false" ht="15" hidden="false" customHeight="false" outlineLevel="0" collapsed="false">
      <c r="A821" s="15"/>
      <c r="B821" s="15"/>
      <c r="C821" s="15"/>
      <c r="D821" s="15"/>
      <c r="E821" s="15"/>
      <c r="F821" s="15"/>
      <c r="G821" s="16" t="str">
        <f aca="false">IF(OR(E821="",F821=""),"",IF(E821=F821,"Yes","No"))</f>
        <v/>
      </c>
      <c r="H821" s="15"/>
      <c r="I821" s="15"/>
      <c r="J821" s="15"/>
      <c r="K821" s="15"/>
    </row>
    <row r="822" customFormat="false" ht="15" hidden="false" customHeight="false" outlineLevel="0" collapsed="false">
      <c r="A822" s="15"/>
      <c r="B822" s="15"/>
      <c r="C822" s="15"/>
      <c r="D822" s="15"/>
      <c r="E822" s="15"/>
      <c r="F822" s="15"/>
      <c r="G822" s="16" t="str">
        <f aca="false">IF(OR(E822="",F822=""),"",IF(E822=F822,"Yes","No"))</f>
        <v/>
      </c>
      <c r="H822" s="15"/>
      <c r="I822" s="15"/>
      <c r="J822" s="15"/>
      <c r="K822" s="15"/>
    </row>
    <row r="823" customFormat="false" ht="15" hidden="false" customHeight="false" outlineLevel="0" collapsed="false">
      <c r="A823" s="15"/>
      <c r="B823" s="15"/>
      <c r="C823" s="15"/>
      <c r="D823" s="15"/>
      <c r="E823" s="15"/>
      <c r="F823" s="15"/>
      <c r="G823" s="16" t="str">
        <f aca="false">IF(OR(E823="",F823=""),"",IF(E823=F823,"Yes","No"))</f>
        <v/>
      </c>
      <c r="H823" s="15"/>
      <c r="I823" s="15"/>
      <c r="J823" s="15"/>
      <c r="K823" s="15"/>
    </row>
    <row r="824" customFormat="false" ht="15" hidden="false" customHeight="false" outlineLevel="0" collapsed="false">
      <c r="A824" s="15"/>
      <c r="B824" s="15"/>
      <c r="C824" s="15"/>
      <c r="D824" s="15"/>
      <c r="E824" s="15"/>
      <c r="F824" s="15"/>
      <c r="G824" s="16" t="str">
        <f aca="false">IF(OR(E824="",F824=""),"",IF(E824=F824,"Yes","No"))</f>
        <v/>
      </c>
      <c r="H824" s="15"/>
      <c r="I824" s="15"/>
      <c r="J824" s="15"/>
      <c r="K824" s="15"/>
    </row>
    <row r="825" customFormat="false" ht="15" hidden="false" customHeight="false" outlineLevel="0" collapsed="false">
      <c r="A825" s="15"/>
      <c r="B825" s="15"/>
      <c r="C825" s="15"/>
      <c r="D825" s="15"/>
      <c r="E825" s="15"/>
      <c r="F825" s="15"/>
      <c r="G825" s="16" t="str">
        <f aca="false">IF(OR(E825="",F825=""),"",IF(E825=F825,"Yes","No"))</f>
        <v/>
      </c>
      <c r="H825" s="15"/>
      <c r="I825" s="15"/>
      <c r="J825" s="15"/>
      <c r="K825" s="15"/>
    </row>
    <row r="826" customFormat="false" ht="15" hidden="false" customHeight="false" outlineLevel="0" collapsed="false">
      <c r="A826" s="15"/>
      <c r="B826" s="15"/>
      <c r="C826" s="15"/>
      <c r="D826" s="15"/>
      <c r="E826" s="15"/>
      <c r="F826" s="15"/>
      <c r="G826" s="16" t="str">
        <f aca="false">IF(OR(E826="",F826=""),"",IF(E826=F826,"Yes","No"))</f>
        <v/>
      </c>
      <c r="H826" s="15"/>
      <c r="I826" s="15"/>
      <c r="J826" s="15"/>
      <c r="K826" s="15"/>
    </row>
    <row r="827" customFormat="false" ht="15" hidden="false" customHeight="false" outlineLevel="0" collapsed="false">
      <c r="A827" s="15"/>
      <c r="B827" s="15"/>
      <c r="C827" s="15"/>
      <c r="D827" s="15"/>
      <c r="E827" s="15"/>
      <c r="F827" s="15"/>
      <c r="G827" s="16" t="str">
        <f aca="false">IF(OR(E827="",F827=""),"",IF(E827=F827,"Yes","No"))</f>
        <v/>
      </c>
      <c r="H827" s="15"/>
      <c r="I827" s="15"/>
      <c r="J827" s="15"/>
      <c r="K827" s="15"/>
    </row>
    <row r="828" customFormat="false" ht="15" hidden="false" customHeight="false" outlineLevel="0" collapsed="false">
      <c r="A828" s="15"/>
      <c r="B828" s="15"/>
      <c r="C828" s="15"/>
      <c r="D828" s="15"/>
      <c r="E828" s="15"/>
      <c r="F828" s="15"/>
      <c r="G828" s="16" t="str">
        <f aca="false">IF(OR(E828="",F828=""),"",IF(E828=F828,"Yes","No"))</f>
        <v/>
      </c>
      <c r="H828" s="15"/>
      <c r="I828" s="15"/>
      <c r="J828" s="15"/>
      <c r="K828" s="15"/>
    </row>
    <row r="829" customFormat="false" ht="15" hidden="false" customHeight="false" outlineLevel="0" collapsed="false">
      <c r="A829" s="15"/>
      <c r="B829" s="15"/>
      <c r="C829" s="15"/>
      <c r="D829" s="15"/>
      <c r="E829" s="15"/>
      <c r="F829" s="15"/>
      <c r="G829" s="16" t="str">
        <f aca="false">IF(OR(E829="",F829=""),"",IF(E829=F829,"Yes","No"))</f>
        <v/>
      </c>
      <c r="H829" s="15"/>
      <c r="I829" s="15"/>
      <c r="J829" s="15"/>
      <c r="K829" s="15"/>
    </row>
    <row r="830" customFormat="false" ht="15" hidden="false" customHeight="false" outlineLevel="0" collapsed="false">
      <c r="A830" s="15"/>
      <c r="B830" s="15"/>
      <c r="C830" s="15"/>
      <c r="D830" s="15"/>
      <c r="E830" s="15"/>
      <c r="F830" s="15"/>
      <c r="G830" s="16" t="str">
        <f aca="false">IF(OR(E830="",F830=""),"",IF(E830=F830,"Yes","No"))</f>
        <v/>
      </c>
      <c r="H830" s="15"/>
      <c r="I830" s="15"/>
      <c r="J830" s="15"/>
      <c r="K830" s="15"/>
    </row>
    <row r="831" customFormat="false" ht="15" hidden="false" customHeight="false" outlineLevel="0" collapsed="false">
      <c r="A831" s="15"/>
      <c r="B831" s="15"/>
      <c r="C831" s="15"/>
      <c r="D831" s="15"/>
      <c r="E831" s="15"/>
      <c r="F831" s="15"/>
      <c r="G831" s="16" t="str">
        <f aca="false">IF(OR(E831="",F831=""),"",IF(E831=F831,"Yes","No"))</f>
        <v/>
      </c>
      <c r="H831" s="15"/>
      <c r="I831" s="15"/>
      <c r="J831" s="15"/>
      <c r="K831" s="15"/>
    </row>
    <row r="832" customFormat="false" ht="15" hidden="false" customHeight="false" outlineLevel="0" collapsed="false">
      <c r="A832" s="15"/>
      <c r="B832" s="15"/>
      <c r="C832" s="15"/>
      <c r="D832" s="15"/>
      <c r="E832" s="15"/>
      <c r="F832" s="15"/>
      <c r="G832" s="16" t="str">
        <f aca="false">IF(OR(E832="",F832=""),"",IF(E832=F832,"Yes","No"))</f>
        <v/>
      </c>
      <c r="H832" s="15"/>
      <c r="I832" s="15"/>
      <c r="J832" s="15"/>
      <c r="K832" s="15"/>
    </row>
    <row r="833" customFormat="false" ht="15" hidden="false" customHeight="false" outlineLevel="0" collapsed="false">
      <c r="A833" s="15"/>
      <c r="B833" s="15"/>
      <c r="C833" s="15"/>
      <c r="D833" s="15"/>
      <c r="E833" s="15"/>
      <c r="F833" s="15"/>
      <c r="G833" s="16" t="str">
        <f aca="false">IF(OR(E833="",F833=""),"",IF(E833=F833,"Yes","No"))</f>
        <v/>
      </c>
      <c r="H833" s="15"/>
      <c r="I833" s="15"/>
      <c r="J833" s="15"/>
      <c r="K833" s="15"/>
    </row>
    <row r="834" customFormat="false" ht="15" hidden="false" customHeight="false" outlineLevel="0" collapsed="false">
      <c r="A834" s="15"/>
      <c r="B834" s="15"/>
      <c r="C834" s="15"/>
      <c r="D834" s="15"/>
      <c r="E834" s="15"/>
      <c r="F834" s="15"/>
      <c r="G834" s="16" t="str">
        <f aca="false">IF(OR(E834="",F834=""),"",IF(E834=F834,"Yes","No"))</f>
        <v/>
      </c>
      <c r="H834" s="15"/>
      <c r="I834" s="15"/>
      <c r="J834" s="15"/>
      <c r="K834" s="15"/>
    </row>
    <row r="835" customFormat="false" ht="15" hidden="false" customHeight="false" outlineLevel="0" collapsed="false">
      <c r="A835" s="15"/>
      <c r="B835" s="15"/>
      <c r="C835" s="15"/>
      <c r="D835" s="15"/>
      <c r="E835" s="15"/>
      <c r="F835" s="15"/>
      <c r="G835" s="16" t="str">
        <f aca="false">IF(OR(E835="",F835=""),"",IF(E835=F835,"Yes","No"))</f>
        <v/>
      </c>
      <c r="H835" s="15"/>
      <c r="I835" s="15"/>
      <c r="J835" s="15"/>
      <c r="K835" s="15"/>
    </row>
    <row r="836" customFormat="false" ht="15" hidden="false" customHeight="false" outlineLevel="0" collapsed="false">
      <c r="A836" s="15"/>
      <c r="B836" s="15"/>
      <c r="C836" s="15"/>
      <c r="D836" s="15"/>
      <c r="E836" s="15"/>
      <c r="F836" s="15"/>
      <c r="G836" s="16" t="str">
        <f aca="false">IF(OR(E836="",F836=""),"",IF(E836=F836,"Yes","No"))</f>
        <v/>
      </c>
      <c r="H836" s="15"/>
      <c r="I836" s="15"/>
      <c r="J836" s="15"/>
      <c r="K836" s="15"/>
    </row>
    <row r="837" customFormat="false" ht="15" hidden="false" customHeight="false" outlineLevel="0" collapsed="false">
      <c r="A837" s="15"/>
      <c r="B837" s="15"/>
      <c r="C837" s="15"/>
      <c r="D837" s="15"/>
      <c r="E837" s="15"/>
      <c r="F837" s="15"/>
      <c r="G837" s="16" t="str">
        <f aca="false">IF(OR(E837="",F837=""),"",IF(E837=F837,"Yes","No"))</f>
        <v/>
      </c>
      <c r="H837" s="15"/>
      <c r="I837" s="15"/>
      <c r="J837" s="15"/>
      <c r="K837" s="15"/>
    </row>
    <row r="838" customFormat="false" ht="15" hidden="false" customHeight="false" outlineLevel="0" collapsed="false">
      <c r="A838" s="15"/>
      <c r="B838" s="15"/>
      <c r="C838" s="15"/>
      <c r="D838" s="15"/>
      <c r="E838" s="15"/>
      <c r="F838" s="15"/>
      <c r="G838" s="16" t="str">
        <f aca="false">IF(OR(E838="",F838=""),"",IF(E838=F838,"Yes","No"))</f>
        <v/>
      </c>
      <c r="H838" s="15"/>
      <c r="I838" s="15"/>
      <c r="J838" s="15"/>
      <c r="K838" s="15"/>
    </row>
    <row r="839" customFormat="false" ht="15" hidden="false" customHeight="false" outlineLevel="0" collapsed="false">
      <c r="A839" s="15"/>
      <c r="B839" s="15"/>
      <c r="C839" s="15"/>
      <c r="D839" s="15"/>
      <c r="E839" s="15"/>
      <c r="F839" s="15"/>
      <c r="G839" s="16" t="str">
        <f aca="false">IF(OR(E839="",F839=""),"",IF(E839=F839,"Yes","No"))</f>
        <v/>
      </c>
      <c r="H839" s="15"/>
      <c r="I839" s="15"/>
      <c r="J839" s="15"/>
      <c r="K839" s="15"/>
    </row>
    <row r="840" customFormat="false" ht="15" hidden="false" customHeight="false" outlineLevel="0" collapsed="false">
      <c r="A840" s="15"/>
      <c r="B840" s="15"/>
      <c r="C840" s="15"/>
      <c r="D840" s="15"/>
      <c r="E840" s="15"/>
      <c r="F840" s="15"/>
      <c r="G840" s="16" t="str">
        <f aca="false">IF(OR(E840="",F840=""),"",IF(E840=F840,"Yes","No"))</f>
        <v/>
      </c>
      <c r="H840" s="15"/>
      <c r="I840" s="15"/>
      <c r="J840" s="15"/>
      <c r="K840" s="15"/>
    </row>
    <row r="841" customFormat="false" ht="15" hidden="false" customHeight="false" outlineLevel="0" collapsed="false">
      <c r="A841" s="15"/>
      <c r="B841" s="15"/>
      <c r="C841" s="15"/>
      <c r="D841" s="15"/>
      <c r="E841" s="15"/>
      <c r="F841" s="15"/>
      <c r="G841" s="16" t="str">
        <f aca="false">IF(OR(E841="",F841=""),"",IF(E841=F841,"Yes","No"))</f>
        <v/>
      </c>
      <c r="H841" s="15"/>
      <c r="I841" s="15"/>
      <c r="J841" s="15"/>
      <c r="K841" s="15"/>
    </row>
    <row r="842" customFormat="false" ht="15" hidden="false" customHeight="false" outlineLevel="0" collapsed="false">
      <c r="A842" s="15"/>
      <c r="B842" s="15"/>
      <c r="C842" s="15"/>
      <c r="D842" s="15"/>
      <c r="E842" s="15"/>
      <c r="F842" s="15"/>
      <c r="G842" s="16" t="str">
        <f aca="false">IF(OR(E842="",F842=""),"",IF(E842=F842,"Yes","No"))</f>
        <v/>
      </c>
      <c r="H842" s="15"/>
      <c r="I842" s="15"/>
      <c r="J842" s="15"/>
      <c r="K842" s="15"/>
    </row>
    <row r="843" customFormat="false" ht="15" hidden="false" customHeight="false" outlineLevel="0" collapsed="false">
      <c r="A843" s="15"/>
      <c r="B843" s="15"/>
      <c r="C843" s="15"/>
      <c r="D843" s="15"/>
      <c r="E843" s="15"/>
      <c r="F843" s="15"/>
      <c r="G843" s="16" t="str">
        <f aca="false">IF(OR(E843="",F843=""),"",IF(E843=F843,"Yes","No"))</f>
        <v/>
      </c>
      <c r="H843" s="15"/>
      <c r="I843" s="15"/>
      <c r="J843" s="15"/>
      <c r="K843" s="15"/>
    </row>
    <row r="844" customFormat="false" ht="15" hidden="false" customHeight="false" outlineLevel="0" collapsed="false">
      <c r="A844" s="15"/>
      <c r="B844" s="15"/>
      <c r="C844" s="15"/>
      <c r="D844" s="15"/>
      <c r="E844" s="15"/>
      <c r="F844" s="15"/>
      <c r="G844" s="16" t="str">
        <f aca="false">IF(OR(E844="",F844=""),"",IF(E844=F844,"Yes","No"))</f>
        <v/>
      </c>
      <c r="H844" s="15"/>
      <c r="I844" s="15"/>
      <c r="J844" s="15"/>
      <c r="K844" s="15"/>
    </row>
    <row r="845" customFormat="false" ht="15" hidden="false" customHeight="false" outlineLevel="0" collapsed="false">
      <c r="A845" s="15"/>
      <c r="B845" s="15"/>
      <c r="C845" s="15"/>
      <c r="D845" s="15"/>
      <c r="E845" s="15"/>
      <c r="F845" s="15"/>
      <c r="G845" s="16" t="str">
        <f aca="false">IF(OR(E845="",F845=""),"",IF(E845=F845,"Yes","No"))</f>
        <v/>
      </c>
      <c r="H845" s="15"/>
      <c r="I845" s="15"/>
      <c r="J845" s="15"/>
      <c r="K845" s="15"/>
    </row>
    <row r="846" customFormat="false" ht="15" hidden="false" customHeight="false" outlineLevel="0" collapsed="false">
      <c r="A846" s="15"/>
      <c r="B846" s="15"/>
      <c r="C846" s="15"/>
      <c r="D846" s="15"/>
      <c r="E846" s="15"/>
      <c r="F846" s="15"/>
      <c r="G846" s="16" t="str">
        <f aca="false">IF(OR(E846="",F846=""),"",IF(E846=F846,"Yes","No"))</f>
        <v/>
      </c>
      <c r="H846" s="15"/>
      <c r="I846" s="15"/>
      <c r="J846" s="15"/>
      <c r="K846" s="15"/>
    </row>
    <row r="847" customFormat="false" ht="15" hidden="false" customHeight="false" outlineLevel="0" collapsed="false">
      <c r="A847" s="15"/>
      <c r="B847" s="15"/>
      <c r="C847" s="15"/>
      <c r="D847" s="15"/>
      <c r="E847" s="15"/>
      <c r="F847" s="15"/>
      <c r="G847" s="16" t="str">
        <f aca="false">IF(OR(E847="",F847=""),"",IF(E847=F847,"Yes","No"))</f>
        <v/>
      </c>
      <c r="H847" s="15"/>
      <c r="I847" s="15"/>
      <c r="J847" s="15"/>
      <c r="K847" s="15"/>
    </row>
    <row r="848" customFormat="false" ht="15" hidden="false" customHeight="false" outlineLevel="0" collapsed="false">
      <c r="A848" s="15"/>
      <c r="B848" s="15"/>
      <c r="C848" s="15"/>
      <c r="D848" s="15"/>
      <c r="E848" s="15"/>
      <c r="F848" s="15"/>
      <c r="G848" s="16" t="str">
        <f aca="false">IF(OR(E848="",F848=""),"",IF(E848=F848,"Yes","No"))</f>
        <v/>
      </c>
      <c r="H848" s="15"/>
      <c r="I848" s="15"/>
      <c r="J848" s="15"/>
      <c r="K848" s="15"/>
    </row>
    <row r="849" customFormat="false" ht="15" hidden="false" customHeight="false" outlineLevel="0" collapsed="false">
      <c r="A849" s="15"/>
      <c r="B849" s="15"/>
      <c r="C849" s="15"/>
      <c r="D849" s="15"/>
      <c r="E849" s="15"/>
      <c r="F849" s="15"/>
      <c r="G849" s="16" t="str">
        <f aca="false">IF(OR(E849="",F849=""),"",IF(E849=F849,"Yes","No"))</f>
        <v/>
      </c>
      <c r="H849" s="15"/>
      <c r="I849" s="15"/>
      <c r="J849" s="15"/>
      <c r="K849" s="15"/>
    </row>
    <row r="850" customFormat="false" ht="15" hidden="false" customHeight="false" outlineLevel="0" collapsed="false">
      <c r="A850" s="15"/>
      <c r="B850" s="15"/>
      <c r="C850" s="15"/>
      <c r="D850" s="15"/>
      <c r="E850" s="15"/>
      <c r="F850" s="15"/>
      <c r="G850" s="16" t="str">
        <f aca="false">IF(OR(E850="",F850=""),"",IF(E850=F850,"Yes","No"))</f>
        <v/>
      </c>
      <c r="H850" s="15"/>
      <c r="I850" s="15"/>
      <c r="J850" s="15"/>
      <c r="K850" s="15"/>
    </row>
    <row r="851" customFormat="false" ht="15" hidden="false" customHeight="false" outlineLevel="0" collapsed="false">
      <c r="A851" s="15"/>
      <c r="B851" s="15"/>
      <c r="C851" s="15"/>
      <c r="D851" s="15"/>
      <c r="E851" s="15"/>
      <c r="F851" s="15"/>
      <c r="G851" s="16" t="str">
        <f aca="false">IF(OR(E851="",F851=""),"",IF(E851=F851,"Yes","No"))</f>
        <v/>
      </c>
      <c r="H851" s="15"/>
      <c r="I851" s="15"/>
      <c r="J851" s="15"/>
      <c r="K851" s="15"/>
    </row>
    <row r="852" customFormat="false" ht="15" hidden="false" customHeight="false" outlineLevel="0" collapsed="false">
      <c r="A852" s="15"/>
      <c r="B852" s="15"/>
      <c r="C852" s="15"/>
      <c r="D852" s="15"/>
      <c r="E852" s="15"/>
      <c r="F852" s="15"/>
      <c r="G852" s="16" t="str">
        <f aca="false">IF(OR(E852="",F852=""),"",IF(E852=F852,"Yes","No"))</f>
        <v/>
      </c>
      <c r="H852" s="15"/>
      <c r="I852" s="15"/>
      <c r="J852" s="15"/>
      <c r="K852" s="15"/>
    </row>
    <row r="853" customFormat="false" ht="15" hidden="false" customHeight="false" outlineLevel="0" collapsed="false">
      <c r="A853" s="15"/>
      <c r="B853" s="15"/>
      <c r="C853" s="15"/>
      <c r="D853" s="15"/>
      <c r="E853" s="15"/>
      <c r="F853" s="15"/>
      <c r="G853" s="16" t="str">
        <f aca="false">IF(OR(E853="",F853=""),"",IF(E853=F853,"Yes","No"))</f>
        <v/>
      </c>
      <c r="H853" s="15"/>
      <c r="I853" s="15"/>
      <c r="J853" s="15"/>
      <c r="K853" s="15"/>
    </row>
    <row r="854" customFormat="false" ht="15" hidden="false" customHeight="false" outlineLevel="0" collapsed="false">
      <c r="A854" s="15"/>
      <c r="B854" s="15"/>
      <c r="C854" s="15"/>
      <c r="D854" s="15"/>
      <c r="E854" s="15"/>
      <c r="F854" s="15"/>
      <c r="G854" s="16" t="str">
        <f aca="false">IF(OR(E854="",F854=""),"",IF(E854=F854,"Yes","No"))</f>
        <v/>
      </c>
      <c r="H854" s="15"/>
      <c r="I854" s="15"/>
      <c r="J854" s="15"/>
      <c r="K854" s="15"/>
    </row>
    <row r="855" customFormat="false" ht="15" hidden="false" customHeight="false" outlineLevel="0" collapsed="false">
      <c r="A855" s="15"/>
      <c r="B855" s="15"/>
      <c r="C855" s="15"/>
      <c r="D855" s="15"/>
      <c r="E855" s="15"/>
      <c r="F855" s="15"/>
      <c r="G855" s="16" t="str">
        <f aca="false">IF(OR(E855="",F855=""),"",IF(E855=F855,"Yes","No"))</f>
        <v/>
      </c>
      <c r="H855" s="15"/>
      <c r="I855" s="15"/>
      <c r="J855" s="15"/>
      <c r="K855" s="15"/>
    </row>
    <row r="856" customFormat="false" ht="15" hidden="false" customHeight="false" outlineLevel="0" collapsed="false">
      <c r="A856" s="15"/>
      <c r="B856" s="15"/>
      <c r="C856" s="15"/>
      <c r="D856" s="15"/>
      <c r="E856" s="15"/>
      <c r="F856" s="15"/>
      <c r="G856" s="16" t="str">
        <f aca="false">IF(OR(E856="",F856=""),"",IF(E856=F856,"Yes","No"))</f>
        <v/>
      </c>
      <c r="H856" s="15"/>
      <c r="I856" s="15"/>
      <c r="J856" s="15"/>
      <c r="K856" s="15"/>
    </row>
    <row r="857" customFormat="false" ht="15" hidden="false" customHeight="false" outlineLevel="0" collapsed="false">
      <c r="A857" s="15"/>
      <c r="B857" s="15"/>
      <c r="C857" s="15"/>
      <c r="D857" s="15"/>
      <c r="E857" s="15"/>
      <c r="F857" s="15"/>
      <c r="G857" s="16" t="str">
        <f aca="false">IF(OR(E857="",F857=""),"",IF(E857=F857,"Yes","No"))</f>
        <v/>
      </c>
      <c r="H857" s="15"/>
      <c r="I857" s="15"/>
      <c r="J857" s="15"/>
      <c r="K857" s="15"/>
    </row>
    <row r="858" customFormat="false" ht="15" hidden="false" customHeight="false" outlineLevel="0" collapsed="false">
      <c r="A858" s="15"/>
      <c r="B858" s="15"/>
      <c r="C858" s="15"/>
      <c r="D858" s="15"/>
      <c r="E858" s="15"/>
      <c r="F858" s="15"/>
      <c r="G858" s="16" t="str">
        <f aca="false">IF(OR(E858="",F858=""),"",IF(E858=F858,"Yes","No"))</f>
        <v/>
      </c>
      <c r="H858" s="15"/>
      <c r="I858" s="15"/>
      <c r="J858" s="15"/>
      <c r="K858" s="15"/>
    </row>
    <row r="859" customFormat="false" ht="15" hidden="false" customHeight="false" outlineLevel="0" collapsed="false">
      <c r="A859" s="15"/>
      <c r="B859" s="15"/>
      <c r="C859" s="15"/>
      <c r="D859" s="15"/>
      <c r="E859" s="15"/>
      <c r="F859" s="15"/>
      <c r="G859" s="16" t="str">
        <f aca="false">IF(OR(E859="",F859=""),"",IF(E859=F859,"Yes","No"))</f>
        <v/>
      </c>
      <c r="H859" s="15"/>
      <c r="I859" s="15"/>
      <c r="J859" s="15"/>
      <c r="K859" s="15"/>
    </row>
    <row r="860" customFormat="false" ht="15" hidden="false" customHeight="false" outlineLevel="0" collapsed="false">
      <c r="A860" s="15"/>
      <c r="B860" s="15"/>
      <c r="C860" s="15"/>
      <c r="D860" s="15"/>
      <c r="E860" s="15"/>
      <c r="F860" s="15"/>
      <c r="G860" s="16" t="str">
        <f aca="false">IF(OR(E860="",F860=""),"",IF(E860=F860,"Yes","No"))</f>
        <v/>
      </c>
      <c r="H860" s="15"/>
      <c r="I860" s="15"/>
      <c r="J860" s="15"/>
      <c r="K860" s="15"/>
    </row>
    <row r="861" customFormat="false" ht="15" hidden="false" customHeight="false" outlineLevel="0" collapsed="false">
      <c r="A861" s="15"/>
      <c r="B861" s="15"/>
      <c r="C861" s="15"/>
      <c r="D861" s="15"/>
      <c r="E861" s="15"/>
      <c r="F861" s="15"/>
      <c r="G861" s="16" t="str">
        <f aca="false">IF(OR(E861="",F861=""),"",IF(E861=F861,"Yes","No"))</f>
        <v/>
      </c>
      <c r="H861" s="15"/>
      <c r="I861" s="15"/>
      <c r="J861" s="15"/>
      <c r="K861" s="15"/>
    </row>
    <row r="862" customFormat="false" ht="15" hidden="false" customHeight="false" outlineLevel="0" collapsed="false">
      <c r="A862" s="15"/>
      <c r="B862" s="15"/>
      <c r="C862" s="15"/>
      <c r="D862" s="15"/>
      <c r="E862" s="15"/>
      <c r="F862" s="15"/>
      <c r="G862" s="16" t="str">
        <f aca="false">IF(OR(E862="",F862=""),"",IF(E862=F862,"Yes","No"))</f>
        <v/>
      </c>
      <c r="H862" s="15"/>
      <c r="I862" s="15"/>
      <c r="J862" s="15"/>
      <c r="K862" s="15"/>
    </row>
    <row r="863" customFormat="false" ht="15" hidden="false" customHeight="false" outlineLevel="0" collapsed="false">
      <c r="A863" s="15"/>
      <c r="B863" s="15"/>
      <c r="C863" s="15"/>
      <c r="D863" s="15"/>
      <c r="E863" s="15"/>
      <c r="F863" s="15"/>
      <c r="G863" s="16" t="str">
        <f aca="false">IF(OR(E863="",F863=""),"",IF(E863=F863,"Yes","No"))</f>
        <v/>
      </c>
      <c r="H863" s="15"/>
      <c r="I863" s="15"/>
      <c r="J863" s="15"/>
      <c r="K863" s="15"/>
    </row>
    <row r="864" customFormat="false" ht="15" hidden="false" customHeight="false" outlineLevel="0" collapsed="false">
      <c r="A864" s="15"/>
      <c r="B864" s="15"/>
      <c r="C864" s="15"/>
      <c r="D864" s="15"/>
      <c r="E864" s="15"/>
      <c r="F864" s="15"/>
      <c r="G864" s="16" t="str">
        <f aca="false">IF(OR(E864="",F864=""),"",IF(E864=F864,"Yes","No"))</f>
        <v/>
      </c>
      <c r="H864" s="15"/>
      <c r="I864" s="15"/>
      <c r="J864" s="15"/>
      <c r="K864" s="15"/>
    </row>
    <row r="865" customFormat="false" ht="15" hidden="false" customHeight="false" outlineLevel="0" collapsed="false">
      <c r="A865" s="15"/>
      <c r="B865" s="15"/>
      <c r="C865" s="15"/>
      <c r="D865" s="15"/>
      <c r="E865" s="15"/>
      <c r="F865" s="15"/>
      <c r="G865" s="16" t="str">
        <f aca="false">IF(OR(E865="",F865=""),"",IF(E865=F865,"Yes","No"))</f>
        <v/>
      </c>
      <c r="H865" s="15"/>
      <c r="I865" s="15"/>
      <c r="J865" s="15"/>
      <c r="K865" s="15"/>
    </row>
    <row r="866" customFormat="false" ht="15" hidden="false" customHeight="false" outlineLevel="0" collapsed="false">
      <c r="A866" s="15"/>
      <c r="B866" s="15"/>
      <c r="C866" s="15"/>
      <c r="D866" s="15"/>
      <c r="E866" s="15"/>
      <c r="F866" s="15"/>
      <c r="G866" s="16" t="str">
        <f aca="false">IF(OR(E866="",F866=""),"",IF(E866=F866,"Yes","No"))</f>
        <v/>
      </c>
      <c r="H866" s="15"/>
      <c r="I866" s="15"/>
      <c r="J866" s="15"/>
      <c r="K866" s="15"/>
    </row>
    <row r="867" customFormat="false" ht="15" hidden="false" customHeight="false" outlineLevel="0" collapsed="false">
      <c r="A867" s="15"/>
      <c r="B867" s="15"/>
      <c r="C867" s="15"/>
      <c r="D867" s="15"/>
      <c r="E867" s="15"/>
      <c r="F867" s="15"/>
      <c r="G867" s="16" t="str">
        <f aca="false">IF(OR(E867="",F867=""),"",IF(E867=F867,"Yes","No"))</f>
        <v/>
      </c>
      <c r="H867" s="15"/>
      <c r="I867" s="15"/>
      <c r="J867" s="15"/>
      <c r="K867" s="15"/>
    </row>
    <row r="868" customFormat="false" ht="15" hidden="false" customHeight="false" outlineLevel="0" collapsed="false">
      <c r="A868" s="15"/>
      <c r="B868" s="15"/>
      <c r="C868" s="15"/>
      <c r="D868" s="15"/>
      <c r="E868" s="15"/>
      <c r="F868" s="15"/>
      <c r="G868" s="16" t="str">
        <f aca="false">IF(OR(E868="",F868=""),"",IF(E868=F868,"Yes","No"))</f>
        <v/>
      </c>
      <c r="H868" s="15"/>
      <c r="I868" s="15"/>
      <c r="J868" s="15"/>
      <c r="K868" s="15"/>
    </row>
    <row r="869" customFormat="false" ht="15" hidden="false" customHeight="false" outlineLevel="0" collapsed="false">
      <c r="A869" s="15"/>
      <c r="B869" s="15"/>
      <c r="C869" s="15"/>
      <c r="D869" s="15"/>
      <c r="E869" s="15"/>
      <c r="F869" s="15"/>
      <c r="G869" s="16" t="str">
        <f aca="false">IF(OR(E869="",F869=""),"",IF(E869=F869,"Yes","No"))</f>
        <v/>
      </c>
      <c r="H869" s="15"/>
      <c r="I869" s="15"/>
      <c r="J869" s="15"/>
      <c r="K869" s="15"/>
    </row>
    <row r="870" customFormat="false" ht="15" hidden="false" customHeight="false" outlineLevel="0" collapsed="false">
      <c r="A870" s="15"/>
      <c r="B870" s="15"/>
      <c r="C870" s="15"/>
      <c r="D870" s="15"/>
      <c r="E870" s="15"/>
      <c r="F870" s="15"/>
      <c r="G870" s="16" t="str">
        <f aca="false">IF(OR(E870="",F870=""),"",IF(E870=F870,"Yes","No"))</f>
        <v/>
      </c>
      <c r="H870" s="15"/>
      <c r="I870" s="15"/>
      <c r="J870" s="15"/>
      <c r="K870" s="15"/>
    </row>
    <row r="871" customFormat="false" ht="15" hidden="false" customHeight="false" outlineLevel="0" collapsed="false">
      <c r="A871" s="15"/>
      <c r="B871" s="15"/>
      <c r="C871" s="15"/>
      <c r="D871" s="15"/>
      <c r="E871" s="15"/>
      <c r="F871" s="15"/>
      <c r="G871" s="16" t="str">
        <f aca="false">IF(OR(E871="",F871=""),"",IF(E871=F871,"Yes","No"))</f>
        <v/>
      </c>
      <c r="H871" s="15"/>
      <c r="I871" s="15"/>
      <c r="J871" s="15"/>
      <c r="K871" s="15"/>
    </row>
    <row r="872" customFormat="false" ht="15" hidden="false" customHeight="false" outlineLevel="0" collapsed="false">
      <c r="A872" s="15"/>
      <c r="B872" s="15"/>
      <c r="C872" s="15"/>
      <c r="D872" s="15"/>
      <c r="E872" s="15"/>
      <c r="F872" s="15"/>
      <c r="G872" s="16" t="str">
        <f aca="false">IF(OR(E872="",F872=""),"",IF(E872=F872,"Yes","No"))</f>
        <v/>
      </c>
      <c r="H872" s="15"/>
      <c r="I872" s="15"/>
      <c r="J872" s="15"/>
      <c r="K872" s="15"/>
    </row>
    <row r="873" customFormat="false" ht="15" hidden="false" customHeight="false" outlineLevel="0" collapsed="false">
      <c r="A873" s="15"/>
      <c r="B873" s="15"/>
      <c r="C873" s="15"/>
      <c r="D873" s="15"/>
      <c r="E873" s="15"/>
      <c r="F873" s="15"/>
      <c r="G873" s="16" t="str">
        <f aca="false">IF(OR(E873="",F873=""),"",IF(E873=F873,"Yes","No"))</f>
        <v/>
      </c>
      <c r="H873" s="15"/>
      <c r="I873" s="15"/>
      <c r="J873" s="15"/>
      <c r="K873" s="15"/>
    </row>
    <row r="874" customFormat="false" ht="15" hidden="false" customHeight="false" outlineLevel="0" collapsed="false">
      <c r="A874" s="15"/>
      <c r="B874" s="15"/>
      <c r="C874" s="15"/>
      <c r="D874" s="15"/>
      <c r="E874" s="15"/>
      <c r="F874" s="15"/>
      <c r="G874" s="16" t="str">
        <f aca="false">IF(OR(E874="",F874=""),"",IF(E874=F874,"Yes","No"))</f>
        <v/>
      </c>
      <c r="H874" s="15"/>
      <c r="I874" s="15"/>
      <c r="J874" s="15"/>
      <c r="K874" s="15"/>
    </row>
    <row r="875" customFormat="false" ht="15" hidden="false" customHeight="false" outlineLevel="0" collapsed="false">
      <c r="A875" s="15"/>
      <c r="B875" s="15"/>
      <c r="C875" s="15"/>
      <c r="D875" s="15"/>
      <c r="E875" s="15"/>
      <c r="F875" s="15"/>
      <c r="G875" s="16" t="str">
        <f aca="false">IF(OR(E875="",F875=""),"",IF(E875=F875,"Yes","No"))</f>
        <v/>
      </c>
      <c r="H875" s="15"/>
      <c r="I875" s="15"/>
      <c r="J875" s="15"/>
      <c r="K875" s="15"/>
    </row>
    <row r="876" customFormat="false" ht="15" hidden="false" customHeight="false" outlineLevel="0" collapsed="false">
      <c r="A876" s="15"/>
      <c r="B876" s="15"/>
      <c r="C876" s="15"/>
      <c r="D876" s="15"/>
      <c r="E876" s="15"/>
      <c r="F876" s="15"/>
      <c r="G876" s="16" t="str">
        <f aca="false">IF(OR(E876="",F876=""),"",IF(E876=F876,"Yes","No"))</f>
        <v/>
      </c>
      <c r="H876" s="15"/>
      <c r="I876" s="15"/>
      <c r="J876" s="15"/>
      <c r="K876" s="15"/>
    </row>
    <row r="877" customFormat="false" ht="15" hidden="false" customHeight="false" outlineLevel="0" collapsed="false">
      <c r="A877" s="15"/>
      <c r="B877" s="15"/>
      <c r="C877" s="15"/>
      <c r="D877" s="15"/>
      <c r="E877" s="15"/>
      <c r="F877" s="15"/>
      <c r="G877" s="16" t="str">
        <f aca="false">IF(OR(E877="",F877=""),"",IF(E877=F877,"Yes","No"))</f>
        <v/>
      </c>
      <c r="H877" s="15"/>
      <c r="I877" s="15"/>
      <c r="J877" s="15"/>
      <c r="K877" s="15"/>
    </row>
    <row r="878" customFormat="false" ht="15" hidden="false" customHeight="false" outlineLevel="0" collapsed="false">
      <c r="A878" s="15"/>
      <c r="B878" s="15"/>
      <c r="C878" s="15"/>
      <c r="D878" s="15"/>
      <c r="E878" s="15"/>
      <c r="F878" s="15"/>
      <c r="G878" s="16" t="str">
        <f aca="false">IF(OR(E878="",F878=""),"",IF(E878=F878,"Yes","No"))</f>
        <v/>
      </c>
      <c r="H878" s="15"/>
      <c r="I878" s="15"/>
      <c r="J878" s="15"/>
      <c r="K878" s="15"/>
    </row>
    <row r="879" customFormat="false" ht="15" hidden="false" customHeight="false" outlineLevel="0" collapsed="false">
      <c r="A879" s="15"/>
      <c r="B879" s="15"/>
      <c r="C879" s="15"/>
      <c r="D879" s="15"/>
      <c r="E879" s="15"/>
      <c r="F879" s="15"/>
      <c r="G879" s="16" t="str">
        <f aca="false">IF(OR(E879="",F879=""),"",IF(E879=F879,"Yes","No"))</f>
        <v/>
      </c>
      <c r="H879" s="15"/>
      <c r="I879" s="15"/>
      <c r="J879" s="15"/>
      <c r="K879" s="15"/>
    </row>
    <row r="880" customFormat="false" ht="15" hidden="false" customHeight="false" outlineLevel="0" collapsed="false">
      <c r="A880" s="15"/>
      <c r="B880" s="15"/>
      <c r="C880" s="15"/>
      <c r="D880" s="15"/>
      <c r="E880" s="15"/>
      <c r="F880" s="15"/>
      <c r="G880" s="16" t="str">
        <f aca="false">IF(OR(E880="",F880=""),"",IF(E880=F880,"Yes","No"))</f>
        <v/>
      </c>
      <c r="H880" s="15"/>
      <c r="I880" s="15"/>
      <c r="J880" s="15"/>
      <c r="K880" s="15"/>
    </row>
    <row r="881" customFormat="false" ht="15" hidden="false" customHeight="false" outlineLevel="0" collapsed="false">
      <c r="A881" s="15"/>
      <c r="B881" s="15"/>
      <c r="C881" s="15"/>
      <c r="D881" s="15"/>
      <c r="E881" s="15"/>
      <c r="F881" s="15"/>
      <c r="G881" s="16" t="str">
        <f aca="false">IF(OR(E881="",F881=""),"",IF(E881=F881,"Yes","No"))</f>
        <v/>
      </c>
      <c r="H881" s="15"/>
      <c r="I881" s="15"/>
      <c r="J881" s="15"/>
      <c r="K881" s="15"/>
    </row>
    <row r="882" customFormat="false" ht="15" hidden="false" customHeight="false" outlineLevel="0" collapsed="false">
      <c r="A882" s="15"/>
      <c r="B882" s="15"/>
      <c r="C882" s="15"/>
      <c r="D882" s="15"/>
      <c r="E882" s="15"/>
      <c r="F882" s="15"/>
      <c r="G882" s="16" t="str">
        <f aca="false">IF(OR(E882="",F882=""),"",IF(E882=F882,"Yes","No"))</f>
        <v/>
      </c>
      <c r="H882" s="15"/>
      <c r="I882" s="15"/>
      <c r="J882" s="15"/>
      <c r="K882" s="15"/>
    </row>
    <row r="883" customFormat="false" ht="15" hidden="false" customHeight="false" outlineLevel="0" collapsed="false">
      <c r="A883" s="15"/>
      <c r="B883" s="15"/>
      <c r="C883" s="15"/>
      <c r="D883" s="15"/>
      <c r="E883" s="15"/>
      <c r="F883" s="15"/>
      <c r="G883" s="16" t="str">
        <f aca="false">IF(OR(E883="",F883=""),"",IF(E883=F883,"Yes","No"))</f>
        <v/>
      </c>
      <c r="H883" s="15"/>
      <c r="I883" s="15"/>
      <c r="J883" s="15"/>
      <c r="K883" s="15"/>
    </row>
    <row r="884" customFormat="false" ht="15" hidden="false" customHeight="false" outlineLevel="0" collapsed="false">
      <c r="A884" s="15"/>
      <c r="B884" s="15"/>
      <c r="C884" s="15"/>
      <c r="D884" s="15"/>
      <c r="E884" s="15"/>
      <c r="F884" s="15"/>
      <c r="G884" s="16" t="str">
        <f aca="false">IF(OR(E884="",F884=""),"",IF(E884=F884,"Yes","No"))</f>
        <v/>
      </c>
      <c r="H884" s="15"/>
      <c r="I884" s="15"/>
      <c r="J884" s="15"/>
      <c r="K884" s="15"/>
    </row>
    <row r="885" customFormat="false" ht="15" hidden="false" customHeight="false" outlineLevel="0" collapsed="false">
      <c r="A885" s="15"/>
      <c r="B885" s="15"/>
      <c r="C885" s="15"/>
      <c r="D885" s="15"/>
      <c r="E885" s="15"/>
      <c r="F885" s="15"/>
      <c r="G885" s="16" t="str">
        <f aca="false">IF(OR(E885="",F885=""),"",IF(E885=F885,"Yes","No"))</f>
        <v/>
      </c>
      <c r="H885" s="15"/>
      <c r="I885" s="15"/>
      <c r="J885" s="15"/>
      <c r="K885" s="15"/>
    </row>
    <row r="886" customFormat="false" ht="15" hidden="false" customHeight="false" outlineLevel="0" collapsed="false">
      <c r="A886" s="15"/>
      <c r="B886" s="15"/>
      <c r="C886" s="15"/>
      <c r="D886" s="15"/>
      <c r="E886" s="15"/>
      <c r="F886" s="15"/>
      <c r="G886" s="16" t="str">
        <f aca="false">IF(OR(E886="",F886=""),"",IF(E886=F886,"Yes","No"))</f>
        <v/>
      </c>
      <c r="H886" s="15"/>
      <c r="I886" s="15"/>
      <c r="J886" s="15"/>
      <c r="K886" s="15"/>
    </row>
    <row r="887" customFormat="false" ht="15" hidden="false" customHeight="false" outlineLevel="0" collapsed="false">
      <c r="A887" s="15"/>
      <c r="B887" s="15"/>
      <c r="C887" s="15"/>
      <c r="D887" s="15"/>
      <c r="E887" s="15"/>
      <c r="F887" s="15"/>
      <c r="G887" s="16" t="str">
        <f aca="false">IF(OR(E887="",F887=""),"",IF(E887=F887,"Yes","No"))</f>
        <v/>
      </c>
      <c r="H887" s="15"/>
      <c r="I887" s="15"/>
      <c r="J887" s="15"/>
      <c r="K887" s="15"/>
    </row>
    <row r="888" customFormat="false" ht="15" hidden="false" customHeight="false" outlineLevel="0" collapsed="false">
      <c r="A888" s="15"/>
      <c r="B888" s="15"/>
      <c r="C888" s="15"/>
      <c r="D888" s="15"/>
      <c r="E888" s="15"/>
      <c r="F888" s="15"/>
      <c r="G888" s="16" t="str">
        <f aca="false">IF(OR(E888="",F888=""),"",IF(E888=F888,"Yes","No"))</f>
        <v/>
      </c>
      <c r="H888" s="15"/>
      <c r="I888" s="15"/>
      <c r="J888" s="15"/>
      <c r="K888" s="15"/>
    </row>
    <row r="889" customFormat="false" ht="15" hidden="false" customHeight="false" outlineLevel="0" collapsed="false">
      <c r="A889" s="15"/>
      <c r="B889" s="15"/>
      <c r="C889" s="15"/>
      <c r="D889" s="15"/>
      <c r="E889" s="15"/>
      <c r="F889" s="15"/>
      <c r="G889" s="16" t="str">
        <f aca="false">IF(OR(E889="",F889=""),"",IF(E889=F889,"Yes","No"))</f>
        <v/>
      </c>
      <c r="H889" s="15"/>
      <c r="I889" s="15"/>
      <c r="J889" s="15"/>
      <c r="K889" s="15"/>
    </row>
    <row r="890" customFormat="false" ht="15" hidden="false" customHeight="false" outlineLevel="0" collapsed="false">
      <c r="A890" s="15"/>
      <c r="B890" s="15"/>
      <c r="C890" s="15"/>
      <c r="D890" s="15"/>
      <c r="E890" s="15"/>
      <c r="F890" s="15"/>
      <c r="G890" s="16" t="str">
        <f aca="false">IF(OR(E890="",F890=""),"",IF(E890=F890,"Yes","No"))</f>
        <v/>
      </c>
      <c r="H890" s="15"/>
      <c r="I890" s="15"/>
      <c r="J890" s="15"/>
      <c r="K890" s="15"/>
    </row>
    <row r="891" customFormat="false" ht="15" hidden="false" customHeight="false" outlineLevel="0" collapsed="false">
      <c r="A891" s="15"/>
      <c r="B891" s="15"/>
      <c r="C891" s="15"/>
      <c r="D891" s="15"/>
      <c r="E891" s="15"/>
      <c r="F891" s="15"/>
      <c r="G891" s="16" t="str">
        <f aca="false">IF(OR(E891="",F891=""),"",IF(E891=F891,"Yes","No"))</f>
        <v/>
      </c>
      <c r="H891" s="15"/>
      <c r="I891" s="15"/>
      <c r="J891" s="15"/>
      <c r="K891" s="15"/>
    </row>
    <row r="892" customFormat="false" ht="15" hidden="false" customHeight="false" outlineLevel="0" collapsed="false">
      <c r="A892" s="15"/>
      <c r="B892" s="15"/>
      <c r="C892" s="15"/>
      <c r="D892" s="15"/>
      <c r="E892" s="15"/>
      <c r="F892" s="15"/>
      <c r="G892" s="16" t="str">
        <f aca="false">IF(OR(E892="",F892=""),"",IF(E892=F892,"Yes","No"))</f>
        <v/>
      </c>
      <c r="H892" s="15"/>
      <c r="I892" s="15"/>
      <c r="J892" s="15"/>
      <c r="K892" s="15"/>
    </row>
    <row r="893" customFormat="false" ht="15" hidden="false" customHeight="false" outlineLevel="0" collapsed="false">
      <c r="A893" s="15"/>
      <c r="B893" s="15"/>
      <c r="C893" s="15"/>
      <c r="D893" s="15"/>
      <c r="E893" s="15"/>
      <c r="F893" s="15"/>
      <c r="G893" s="16" t="str">
        <f aca="false">IF(OR(E893="",F893=""),"",IF(E893=F893,"Yes","No"))</f>
        <v/>
      </c>
      <c r="H893" s="15"/>
      <c r="I893" s="15"/>
      <c r="J893" s="15"/>
      <c r="K893" s="15"/>
    </row>
    <row r="894" customFormat="false" ht="15" hidden="false" customHeight="false" outlineLevel="0" collapsed="false">
      <c r="A894" s="15"/>
      <c r="B894" s="15"/>
      <c r="C894" s="15"/>
      <c r="D894" s="15"/>
      <c r="E894" s="15"/>
      <c r="F894" s="15"/>
      <c r="G894" s="16" t="str">
        <f aca="false">IF(OR(E894="",F894=""),"",IF(E894=F894,"Yes","No"))</f>
        <v/>
      </c>
      <c r="H894" s="15"/>
      <c r="I894" s="15"/>
      <c r="J894" s="15"/>
      <c r="K894" s="15"/>
    </row>
    <row r="895" customFormat="false" ht="15" hidden="false" customHeight="false" outlineLevel="0" collapsed="false">
      <c r="A895" s="15"/>
      <c r="B895" s="15"/>
      <c r="C895" s="15"/>
      <c r="D895" s="15"/>
      <c r="E895" s="15"/>
      <c r="F895" s="15"/>
      <c r="G895" s="16" t="str">
        <f aca="false">IF(OR(E895="",F895=""),"",IF(E895=F895,"Yes","No"))</f>
        <v/>
      </c>
      <c r="H895" s="15"/>
      <c r="I895" s="15"/>
      <c r="J895" s="15"/>
      <c r="K895" s="15"/>
    </row>
    <row r="896" customFormat="false" ht="15" hidden="false" customHeight="false" outlineLevel="0" collapsed="false">
      <c r="A896" s="15"/>
      <c r="B896" s="15"/>
      <c r="C896" s="15"/>
      <c r="D896" s="15"/>
      <c r="E896" s="15"/>
      <c r="F896" s="15"/>
      <c r="G896" s="16" t="str">
        <f aca="false">IF(OR(E896="",F896=""),"",IF(E896=F896,"Yes","No"))</f>
        <v/>
      </c>
      <c r="H896" s="15"/>
      <c r="I896" s="15"/>
      <c r="J896" s="15"/>
      <c r="K896" s="15"/>
    </row>
    <row r="897" customFormat="false" ht="15" hidden="false" customHeight="false" outlineLevel="0" collapsed="false">
      <c r="A897" s="15"/>
      <c r="B897" s="15"/>
      <c r="C897" s="15"/>
      <c r="D897" s="15"/>
      <c r="E897" s="15"/>
      <c r="F897" s="15"/>
      <c r="G897" s="16" t="str">
        <f aca="false">IF(OR(E897="",F897=""),"",IF(E897=F897,"Yes","No"))</f>
        <v/>
      </c>
      <c r="H897" s="15"/>
      <c r="I897" s="15"/>
      <c r="J897" s="15"/>
      <c r="K897" s="15"/>
    </row>
    <row r="898" customFormat="false" ht="15" hidden="false" customHeight="false" outlineLevel="0" collapsed="false">
      <c r="A898" s="15"/>
      <c r="B898" s="15"/>
      <c r="C898" s="15"/>
      <c r="D898" s="15"/>
      <c r="E898" s="15"/>
      <c r="F898" s="15"/>
      <c r="G898" s="16" t="str">
        <f aca="false">IF(OR(E898="",F898=""),"",IF(E898=F898,"Yes","No"))</f>
        <v/>
      </c>
      <c r="H898" s="15"/>
      <c r="I898" s="15"/>
      <c r="J898" s="15"/>
      <c r="K898" s="15"/>
    </row>
    <row r="899" customFormat="false" ht="15" hidden="false" customHeight="false" outlineLevel="0" collapsed="false">
      <c r="A899" s="15"/>
      <c r="B899" s="15"/>
      <c r="C899" s="15"/>
      <c r="D899" s="15"/>
      <c r="E899" s="15"/>
      <c r="F899" s="15"/>
      <c r="G899" s="16" t="str">
        <f aca="false">IF(OR(E899="",F899=""),"",IF(E899=F899,"Yes","No"))</f>
        <v/>
      </c>
      <c r="H899" s="15"/>
      <c r="I899" s="15"/>
      <c r="J899" s="15"/>
      <c r="K899" s="15"/>
    </row>
    <row r="900" customFormat="false" ht="15" hidden="false" customHeight="false" outlineLevel="0" collapsed="false">
      <c r="A900" s="15"/>
      <c r="B900" s="15"/>
      <c r="C900" s="15"/>
      <c r="D900" s="15"/>
      <c r="E900" s="15"/>
      <c r="F900" s="15"/>
      <c r="G900" s="16" t="str">
        <f aca="false">IF(OR(E900="",F900=""),"",IF(E900=F900,"Yes","No"))</f>
        <v/>
      </c>
      <c r="H900" s="15"/>
      <c r="I900" s="15"/>
      <c r="J900" s="15"/>
      <c r="K900" s="15"/>
    </row>
    <row r="901" customFormat="false" ht="15" hidden="false" customHeight="false" outlineLevel="0" collapsed="false">
      <c r="A901" s="15"/>
      <c r="B901" s="15"/>
      <c r="C901" s="15"/>
      <c r="D901" s="15"/>
      <c r="E901" s="15"/>
      <c r="F901" s="15"/>
      <c r="G901" s="16" t="str">
        <f aca="false">IF(OR(E901="",F901=""),"",IF(E901=F901,"Yes","No"))</f>
        <v/>
      </c>
      <c r="H901" s="15"/>
      <c r="I901" s="15"/>
      <c r="J901" s="15"/>
      <c r="K901" s="15"/>
    </row>
    <row r="902" customFormat="false" ht="15" hidden="false" customHeight="false" outlineLevel="0" collapsed="false">
      <c r="A902" s="15"/>
      <c r="B902" s="15"/>
      <c r="C902" s="15"/>
      <c r="D902" s="15"/>
      <c r="E902" s="15"/>
      <c r="F902" s="15"/>
      <c r="G902" s="16" t="str">
        <f aca="false">IF(OR(E902="",F902=""),"",IF(E902=F902,"Yes","No"))</f>
        <v/>
      </c>
      <c r="H902" s="15"/>
      <c r="I902" s="15"/>
      <c r="J902" s="15"/>
      <c r="K902" s="15"/>
    </row>
    <row r="903" customFormat="false" ht="15" hidden="false" customHeight="false" outlineLevel="0" collapsed="false">
      <c r="A903" s="15"/>
      <c r="B903" s="15"/>
      <c r="C903" s="15"/>
      <c r="D903" s="15"/>
      <c r="E903" s="15"/>
      <c r="F903" s="15"/>
      <c r="G903" s="16" t="str">
        <f aca="false">IF(OR(E903="",F903=""),"",IF(E903=F903,"Yes","No"))</f>
        <v/>
      </c>
      <c r="H903" s="15"/>
      <c r="I903" s="15"/>
      <c r="J903" s="15"/>
      <c r="K903" s="15"/>
    </row>
    <row r="904" customFormat="false" ht="15" hidden="false" customHeight="false" outlineLevel="0" collapsed="false">
      <c r="A904" s="15"/>
      <c r="B904" s="15"/>
      <c r="C904" s="15"/>
      <c r="D904" s="15"/>
      <c r="E904" s="15"/>
      <c r="F904" s="15"/>
      <c r="G904" s="16" t="str">
        <f aca="false">IF(OR(E904="",F904=""),"",IF(E904=F904,"Yes","No"))</f>
        <v/>
      </c>
      <c r="H904" s="15"/>
      <c r="I904" s="15"/>
      <c r="J904" s="15"/>
      <c r="K904" s="15"/>
    </row>
    <row r="905" customFormat="false" ht="15" hidden="false" customHeight="false" outlineLevel="0" collapsed="false">
      <c r="A905" s="15"/>
      <c r="B905" s="15"/>
      <c r="C905" s="15"/>
      <c r="D905" s="15"/>
      <c r="E905" s="15"/>
      <c r="F905" s="15"/>
      <c r="G905" s="16" t="str">
        <f aca="false">IF(OR(E905="",F905=""),"",IF(E905=F905,"Yes","No"))</f>
        <v/>
      </c>
      <c r="H905" s="15"/>
      <c r="I905" s="15"/>
      <c r="J905" s="15"/>
      <c r="K905" s="15"/>
    </row>
    <row r="906" customFormat="false" ht="15" hidden="false" customHeight="false" outlineLevel="0" collapsed="false">
      <c r="A906" s="15"/>
      <c r="B906" s="15"/>
      <c r="C906" s="15"/>
      <c r="D906" s="15"/>
      <c r="E906" s="15"/>
      <c r="F906" s="15"/>
      <c r="G906" s="16" t="str">
        <f aca="false">IF(OR(E906="",F906=""),"",IF(E906=F906,"Yes","No"))</f>
        <v/>
      </c>
      <c r="H906" s="15"/>
      <c r="I906" s="15"/>
      <c r="J906" s="15"/>
      <c r="K906" s="15"/>
    </row>
    <row r="907" customFormat="false" ht="15" hidden="false" customHeight="false" outlineLevel="0" collapsed="false">
      <c r="A907" s="15"/>
      <c r="B907" s="15"/>
      <c r="C907" s="15"/>
      <c r="D907" s="15"/>
      <c r="E907" s="15"/>
      <c r="F907" s="15"/>
      <c r="G907" s="16" t="str">
        <f aca="false">IF(OR(E907="",F907=""),"",IF(E907=F907,"Yes","No"))</f>
        <v/>
      </c>
      <c r="H907" s="15"/>
      <c r="I907" s="15"/>
      <c r="J907" s="15"/>
      <c r="K907" s="15"/>
    </row>
    <row r="908" customFormat="false" ht="15" hidden="false" customHeight="false" outlineLevel="0" collapsed="false">
      <c r="A908" s="15"/>
      <c r="B908" s="15"/>
      <c r="C908" s="15"/>
      <c r="D908" s="15"/>
      <c r="E908" s="15"/>
      <c r="F908" s="15"/>
      <c r="G908" s="16" t="str">
        <f aca="false">IF(OR(E908="",F908=""),"",IF(E908=F908,"Yes","No"))</f>
        <v/>
      </c>
      <c r="H908" s="15"/>
      <c r="I908" s="15"/>
      <c r="J908" s="15"/>
      <c r="K908" s="15"/>
    </row>
    <row r="909" customFormat="false" ht="15" hidden="false" customHeight="false" outlineLevel="0" collapsed="false">
      <c r="A909" s="15"/>
      <c r="B909" s="15"/>
      <c r="C909" s="15"/>
      <c r="D909" s="15"/>
      <c r="E909" s="15"/>
      <c r="F909" s="15"/>
      <c r="G909" s="16" t="str">
        <f aca="false">IF(OR(E909="",F909=""),"",IF(E909=F909,"Yes","No"))</f>
        <v/>
      </c>
      <c r="H909" s="15"/>
      <c r="I909" s="15"/>
      <c r="J909" s="15"/>
      <c r="K909" s="15"/>
    </row>
    <row r="910" customFormat="false" ht="15" hidden="false" customHeight="false" outlineLevel="0" collapsed="false">
      <c r="A910" s="15"/>
      <c r="B910" s="15"/>
      <c r="C910" s="15"/>
      <c r="D910" s="15"/>
      <c r="E910" s="15"/>
      <c r="F910" s="15"/>
      <c r="G910" s="16" t="str">
        <f aca="false">IF(OR(E910="",F910=""),"",IF(E910=F910,"Yes","No"))</f>
        <v/>
      </c>
      <c r="H910" s="15"/>
      <c r="I910" s="15"/>
      <c r="J910" s="15"/>
      <c r="K910" s="15"/>
    </row>
    <row r="911" customFormat="false" ht="15" hidden="false" customHeight="false" outlineLevel="0" collapsed="false">
      <c r="A911" s="15"/>
      <c r="B911" s="15"/>
      <c r="C911" s="15"/>
      <c r="D911" s="15"/>
      <c r="E911" s="15"/>
      <c r="F911" s="15"/>
      <c r="G911" s="16" t="str">
        <f aca="false">IF(OR(E911="",F911=""),"",IF(E911=F911,"Yes","No"))</f>
        <v/>
      </c>
      <c r="H911" s="15"/>
      <c r="I911" s="15"/>
      <c r="J911" s="15"/>
      <c r="K911" s="15"/>
    </row>
    <row r="912" customFormat="false" ht="15" hidden="false" customHeight="false" outlineLevel="0" collapsed="false">
      <c r="A912" s="15"/>
      <c r="B912" s="15"/>
      <c r="C912" s="15"/>
      <c r="D912" s="15"/>
      <c r="E912" s="15"/>
      <c r="F912" s="15"/>
      <c r="G912" s="16" t="str">
        <f aca="false">IF(OR(E912="",F912=""),"",IF(E912=F912,"Yes","No"))</f>
        <v/>
      </c>
      <c r="H912" s="15"/>
      <c r="I912" s="15"/>
      <c r="J912" s="15"/>
      <c r="K912" s="15"/>
    </row>
    <row r="913" customFormat="false" ht="15" hidden="false" customHeight="false" outlineLevel="0" collapsed="false">
      <c r="A913" s="15"/>
      <c r="B913" s="15"/>
      <c r="C913" s="15"/>
      <c r="D913" s="15"/>
      <c r="E913" s="15"/>
      <c r="F913" s="15"/>
      <c r="G913" s="16" t="str">
        <f aca="false">IF(OR(E913="",F913=""),"",IF(E913=F913,"Yes","No"))</f>
        <v/>
      </c>
      <c r="H913" s="15"/>
      <c r="I913" s="15"/>
      <c r="J913" s="15"/>
      <c r="K913" s="15"/>
    </row>
    <row r="914" customFormat="false" ht="15" hidden="false" customHeight="false" outlineLevel="0" collapsed="false">
      <c r="A914" s="15"/>
      <c r="B914" s="15"/>
      <c r="C914" s="15"/>
      <c r="D914" s="15"/>
      <c r="E914" s="15"/>
      <c r="F914" s="15"/>
      <c r="G914" s="16" t="str">
        <f aca="false">IF(OR(E914="",F914=""),"",IF(E914=F914,"Yes","No"))</f>
        <v/>
      </c>
      <c r="H914" s="15"/>
      <c r="I914" s="15"/>
      <c r="J914" s="15"/>
      <c r="K914" s="15"/>
    </row>
    <row r="915" customFormat="false" ht="15" hidden="false" customHeight="false" outlineLevel="0" collapsed="false">
      <c r="A915" s="15"/>
      <c r="B915" s="15"/>
      <c r="C915" s="15"/>
      <c r="D915" s="15"/>
      <c r="E915" s="15"/>
      <c r="F915" s="15"/>
      <c r="G915" s="16" t="str">
        <f aca="false">IF(OR(E915="",F915=""),"",IF(E915=F915,"Yes","No"))</f>
        <v/>
      </c>
      <c r="H915" s="15"/>
      <c r="I915" s="15"/>
      <c r="J915" s="15"/>
      <c r="K915" s="15"/>
    </row>
    <row r="916" customFormat="false" ht="15" hidden="false" customHeight="false" outlineLevel="0" collapsed="false">
      <c r="A916" s="15"/>
      <c r="B916" s="15"/>
      <c r="C916" s="15"/>
      <c r="D916" s="15"/>
      <c r="E916" s="15"/>
      <c r="F916" s="15"/>
      <c r="G916" s="16" t="str">
        <f aca="false">IF(OR(E916="",F916=""),"",IF(E916=F916,"Yes","No"))</f>
        <v/>
      </c>
      <c r="H916" s="15"/>
      <c r="I916" s="15"/>
      <c r="J916" s="15"/>
      <c r="K916" s="15"/>
    </row>
    <row r="917" customFormat="false" ht="15" hidden="false" customHeight="false" outlineLevel="0" collapsed="false">
      <c r="A917" s="15"/>
      <c r="B917" s="15"/>
      <c r="C917" s="15"/>
      <c r="D917" s="15"/>
      <c r="E917" s="15"/>
      <c r="F917" s="15"/>
      <c r="G917" s="16" t="str">
        <f aca="false">IF(OR(E917="",F917=""),"",IF(E917=F917,"Yes","No"))</f>
        <v/>
      </c>
      <c r="H917" s="15"/>
      <c r="I917" s="15"/>
      <c r="J917" s="15"/>
      <c r="K917" s="15"/>
    </row>
    <row r="918" customFormat="false" ht="15" hidden="false" customHeight="false" outlineLevel="0" collapsed="false">
      <c r="A918" s="15"/>
      <c r="B918" s="15"/>
      <c r="C918" s="15"/>
      <c r="D918" s="15"/>
      <c r="E918" s="15"/>
      <c r="F918" s="15"/>
      <c r="G918" s="16" t="str">
        <f aca="false">IF(OR(E918="",F918=""),"",IF(E918=F918,"Yes","No"))</f>
        <v/>
      </c>
      <c r="H918" s="15"/>
      <c r="I918" s="15"/>
      <c r="J918" s="15"/>
      <c r="K918" s="15"/>
    </row>
    <row r="919" customFormat="false" ht="15" hidden="false" customHeight="false" outlineLevel="0" collapsed="false">
      <c r="A919" s="15"/>
      <c r="B919" s="15"/>
      <c r="C919" s="15"/>
      <c r="D919" s="15"/>
      <c r="E919" s="15"/>
      <c r="F919" s="15"/>
      <c r="G919" s="16" t="str">
        <f aca="false">IF(OR(E919="",F919=""),"",IF(E919=F919,"Yes","No"))</f>
        <v/>
      </c>
      <c r="H919" s="15"/>
      <c r="I919" s="15"/>
      <c r="J919" s="15"/>
      <c r="K919" s="15"/>
    </row>
    <row r="920" customFormat="false" ht="15" hidden="false" customHeight="false" outlineLevel="0" collapsed="false">
      <c r="A920" s="15"/>
      <c r="B920" s="15"/>
      <c r="C920" s="15"/>
      <c r="D920" s="15"/>
      <c r="E920" s="15"/>
      <c r="F920" s="15"/>
      <c r="G920" s="16" t="str">
        <f aca="false">IF(OR(E920="",F920=""),"",IF(E920=F920,"Yes","No"))</f>
        <v/>
      </c>
      <c r="H920" s="15"/>
      <c r="I920" s="15"/>
      <c r="J920" s="15"/>
      <c r="K920" s="15"/>
    </row>
    <row r="921" customFormat="false" ht="15" hidden="false" customHeight="false" outlineLevel="0" collapsed="false">
      <c r="A921" s="15"/>
      <c r="B921" s="15"/>
      <c r="C921" s="15"/>
      <c r="D921" s="15"/>
      <c r="E921" s="15"/>
      <c r="F921" s="15"/>
      <c r="G921" s="16" t="str">
        <f aca="false">IF(OR(E921="",F921=""),"",IF(E921=F921,"Yes","No"))</f>
        <v/>
      </c>
      <c r="H921" s="15"/>
      <c r="I921" s="15"/>
      <c r="J921" s="15"/>
      <c r="K921" s="15"/>
    </row>
    <row r="922" customFormat="false" ht="15" hidden="false" customHeight="false" outlineLevel="0" collapsed="false">
      <c r="A922" s="15"/>
      <c r="B922" s="15"/>
      <c r="C922" s="15"/>
      <c r="D922" s="15"/>
      <c r="E922" s="15"/>
      <c r="F922" s="15"/>
      <c r="G922" s="16" t="str">
        <f aca="false">IF(OR(E922="",F922=""),"",IF(E922=F922,"Yes","No"))</f>
        <v/>
      </c>
      <c r="H922" s="15"/>
      <c r="I922" s="15"/>
      <c r="J922" s="15"/>
      <c r="K922" s="15"/>
    </row>
    <row r="923" customFormat="false" ht="15" hidden="false" customHeight="false" outlineLevel="0" collapsed="false">
      <c r="A923" s="15"/>
      <c r="B923" s="15"/>
      <c r="C923" s="15"/>
      <c r="D923" s="15"/>
      <c r="E923" s="15"/>
      <c r="F923" s="15"/>
      <c r="G923" s="16" t="str">
        <f aca="false">IF(OR(E923="",F923=""),"",IF(E923=F923,"Yes","No"))</f>
        <v/>
      </c>
      <c r="H923" s="15"/>
      <c r="I923" s="15"/>
      <c r="J923" s="15"/>
      <c r="K923" s="15"/>
    </row>
    <row r="924" customFormat="false" ht="15" hidden="false" customHeight="false" outlineLevel="0" collapsed="false">
      <c r="A924" s="15"/>
      <c r="B924" s="15"/>
      <c r="C924" s="15"/>
      <c r="D924" s="15"/>
      <c r="E924" s="15"/>
      <c r="F924" s="15"/>
      <c r="G924" s="16" t="str">
        <f aca="false">IF(OR(E924="",F924=""),"",IF(E924=F924,"Yes","No"))</f>
        <v/>
      </c>
      <c r="H924" s="15"/>
      <c r="I924" s="15"/>
      <c r="J924" s="15"/>
      <c r="K924" s="15"/>
    </row>
    <row r="925" customFormat="false" ht="15" hidden="false" customHeight="false" outlineLevel="0" collapsed="false">
      <c r="A925" s="15"/>
      <c r="B925" s="15"/>
      <c r="C925" s="15"/>
      <c r="D925" s="15"/>
      <c r="E925" s="15"/>
      <c r="F925" s="15"/>
      <c r="G925" s="16" t="str">
        <f aca="false">IF(OR(E925="",F925=""),"",IF(E925=F925,"Yes","No"))</f>
        <v/>
      </c>
      <c r="H925" s="15"/>
      <c r="I925" s="15"/>
      <c r="J925" s="15"/>
      <c r="K925" s="15"/>
    </row>
    <row r="926" customFormat="false" ht="15" hidden="false" customHeight="false" outlineLevel="0" collapsed="false">
      <c r="A926" s="15"/>
      <c r="B926" s="15"/>
      <c r="C926" s="15"/>
      <c r="D926" s="15"/>
      <c r="E926" s="15"/>
      <c r="F926" s="15"/>
      <c r="G926" s="16" t="str">
        <f aca="false">IF(OR(E926="",F926=""),"",IF(E926=F926,"Yes","No"))</f>
        <v/>
      </c>
      <c r="H926" s="15"/>
      <c r="I926" s="15"/>
      <c r="J926" s="15"/>
      <c r="K926" s="15"/>
    </row>
    <row r="927" customFormat="false" ht="15" hidden="false" customHeight="false" outlineLevel="0" collapsed="false">
      <c r="A927" s="15"/>
      <c r="B927" s="15"/>
      <c r="C927" s="15"/>
      <c r="D927" s="15"/>
      <c r="E927" s="15"/>
      <c r="F927" s="15"/>
      <c r="G927" s="16" t="str">
        <f aca="false">IF(OR(E927="",F927=""),"",IF(E927=F927,"Yes","No"))</f>
        <v/>
      </c>
      <c r="H927" s="15"/>
      <c r="I927" s="15"/>
      <c r="J927" s="15"/>
      <c r="K927" s="15"/>
    </row>
    <row r="928" customFormat="false" ht="15" hidden="false" customHeight="false" outlineLevel="0" collapsed="false">
      <c r="A928" s="15"/>
      <c r="B928" s="15"/>
      <c r="C928" s="15"/>
      <c r="D928" s="15"/>
      <c r="E928" s="15"/>
      <c r="F928" s="15"/>
      <c r="G928" s="16" t="str">
        <f aca="false">IF(OR(E928="",F928=""),"",IF(E928=F928,"Yes","No"))</f>
        <v/>
      </c>
      <c r="H928" s="15"/>
      <c r="I928" s="15"/>
      <c r="J928" s="15"/>
      <c r="K928" s="15"/>
    </row>
    <row r="929" customFormat="false" ht="15" hidden="false" customHeight="false" outlineLevel="0" collapsed="false">
      <c r="A929" s="15"/>
      <c r="B929" s="15"/>
      <c r="C929" s="15"/>
      <c r="D929" s="15"/>
      <c r="E929" s="15"/>
      <c r="F929" s="15"/>
      <c r="G929" s="16" t="str">
        <f aca="false">IF(OR(E929="",F929=""),"",IF(E929=F929,"Yes","No"))</f>
        <v/>
      </c>
      <c r="H929" s="15"/>
      <c r="I929" s="15"/>
      <c r="J929" s="15"/>
      <c r="K929" s="15"/>
    </row>
    <row r="930" customFormat="false" ht="15" hidden="false" customHeight="false" outlineLevel="0" collapsed="false">
      <c r="A930" s="15"/>
      <c r="B930" s="15"/>
      <c r="C930" s="15"/>
      <c r="D930" s="15"/>
      <c r="E930" s="15"/>
      <c r="F930" s="15"/>
      <c r="G930" s="16" t="str">
        <f aca="false">IF(OR(E930="",F930=""),"",IF(E930=F930,"Yes","No"))</f>
        <v/>
      </c>
      <c r="H930" s="15"/>
      <c r="I930" s="15"/>
      <c r="J930" s="15"/>
      <c r="K930" s="15"/>
    </row>
    <row r="931" customFormat="false" ht="15" hidden="false" customHeight="false" outlineLevel="0" collapsed="false">
      <c r="A931" s="15"/>
      <c r="B931" s="15"/>
      <c r="C931" s="15"/>
      <c r="D931" s="15"/>
      <c r="E931" s="15"/>
      <c r="F931" s="15"/>
      <c r="G931" s="16" t="str">
        <f aca="false">IF(OR(E931="",F931=""),"",IF(E931=F931,"Yes","No"))</f>
        <v/>
      </c>
      <c r="H931" s="15"/>
      <c r="I931" s="15"/>
      <c r="J931" s="15"/>
      <c r="K931" s="15"/>
    </row>
    <row r="932" customFormat="false" ht="15" hidden="false" customHeight="false" outlineLevel="0" collapsed="false">
      <c r="A932" s="15"/>
      <c r="B932" s="15"/>
      <c r="C932" s="15"/>
      <c r="D932" s="15"/>
      <c r="E932" s="15"/>
      <c r="F932" s="15"/>
      <c r="G932" s="16" t="str">
        <f aca="false">IF(OR(E932="",F932=""),"",IF(E932=F932,"Yes","No"))</f>
        <v/>
      </c>
      <c r="H932" s="15"/>
      <c r="I932" s="15"/>
      <c r="J932" s="15"/>
      <c r="K932" s="15"/>
    </row>
    <row r="933" customFormat="false" ht="15" hidden="false" customHeight="false" outlineLevel="0" collapsed="false">
      <c r="A933" s="15"/>
      <c r="B933" s="15"/>
      <c r="C933" s="15"/>
      <c r="D933" s="15"/>
      <c r="E933" s="15"/>
      <c r="F933" s="15"/>
      <c r="G933" s="16" t="str">
        <f aca="false">IF(OR(E933="",F933=""),"",IF(E933=F933,"Yes","No"))</f>
        <v/>
      </c>
      <c r="H933" s="15"/>
      <c r="I933" s="15"/>
      <c r="J933" s="15"/>
      <c r="K933" s="15"/>
    </row>
    <row r="934" customFormat="false" ht="15" hidden="false" customHeight="false" outlineLevel="0" collapsed="false">
      <c r="A934" s="15"/>
      <c r="B934" s="15"/>
      <c r="C934" s="15"/>
      <c r="D934" s="15"/>
      <c r="E934" s="15"/>
      <c r="F934" s="15"/>
      <c r="G934" s="16" t="str">
        <f aca="false">IF(OR(E934="",F934=""),"",IF(E934=F934,"Yes","No"))</f>
        <v/>
      </c>
      <c r="H934" s="15"/>
      <c r="I934" s="15"/>
      <c r="J934" s="15"/>
      <c r="K934" s="15"/>
    </row>
    <row r="935" customFormat="false" ht="15" hidden="false" customHeight="false" outlineLevel="0" collapsed="false">
      <c r="A935" s="15"/>
      <c r="B935" s="15"/>
      <c r="C935" s="15"/>
      <c r="D935" s="15"/>
      <c r="E935" s="15"/>
      <c r="F935" s="15"/>
      <c r="G935" s="16" t="str">
        <f aca="false">IF(OR(E935="",F935=""),"",IF(E935=F935,"Yes","No"))</f>
        <v/>
      </c>
      <c r="H935" s="15"/>
      <c r="I935" s="15"/>
      <c r="J935" s="15"/>
      <c r="K935" s="15"/>
    </row>
    <row r="936" customFormat="false" ht="15" hidden="false" customHeight="false" outlineLevel="0" collapsed="false">
      <c r="A936" s="15"/>
      <c r="B936" s="15"/>
      <c r="C936" s="15"/>
      <c r="D936" s="15"/>
      <c r="E936" s="15"/>
      <c r="F936" s="15"/>
      <c r="G936" s="16" t="str">
        <f aca="false">IF(OR(E936="",F936=""),"",IF(E936=F936,"Yes","No"))</f>
        <v/>
      </c>
      <c r="H936" s="15"/>
      <c r="I936" s="15"/>
      <c r="J936" s="15"/>
      <c r="K936" s="15"/>
    </row>
    <row r="937" customFormat="false" ht="15" hidden="false" customHeight="false" outlineLevel="0" collapsed="false">
      <c r="A937" s="15"/>
      <c r="B937" s="15"/>
      <c r="C937" s="15"/>
      <c r="D937" s="15"/>
      <c r="E937" s="15"/>
      <c r="F937" s="15"/>
      <c r="G937" s="16" t="str">
        <f aca="false">IF(OR(E937="",F937=""),"",IF(E937=F937,"Yes","No"))</f>
        <v/>
      </c>
      <c r="H937" s="15"/>
      <c r="I937" s="15"/>
      <c r="J937" s="15"/>
      <c r="K937" s="15"/>
    </row>
    <row r="938" customFormat="false" ht="15" hidden="false" customHeight="false" outlineLevel="0" collapsed="false">
      <c r="A938" s="15"/>
      <c r="B938" s="15"/>
      <c r="C938" s="15"/>
      <c r="D938" s="15"/>
      <c r="E938" s="15"/>
      <c r="F938" s="15"/>
      <c r="G938" s="16" t="str">
        <f aca="false">IF(OR(E938="",F938=""),"",IF(E938=F938,"Yes","No"))</f>
        <v/>
      </c>
      <c r="H938" s="15"/>
      <c r="I938" s="15"/>
      <c r="J938" s="15"/>
      <c r="K938" s="15"/>
    </row>
    <row r="939" customFormat="false" ht="15" hidden="false" customHeight="false" outlineLevel="0" collapsed="false">
      <c r="A939" s="15"/>
      <c r="B939" s="15"/>
      <c r="C939" s="15"/>
      <c r="D939" s="15"/>
      <c r="E939" s="15"/>
      <c r="F939" s="15"/>
      <c r="G939" s="16" t="str">
        <f aca="false">IF(OR(E939="",F939=""),"",IF(E939=F939,"Yes","No"))</f>
        <v/>
      </c>
      <c r="H939" s="15"/>
      <c r="I939" s="15"/>
      <c r="J939" s="15"/>
      <c r="K939" s="15"/>
    </row>
    <row r="940" customFormat="false" ht="15" hidden="false" customHeight="false" outlineLevel="0" collapsed="false">
      <c r="A940" s="15"/>
      <c r="B940" s="15"/>
      <c r="C940" s="15"/>
      <c r="D940" s="15"/>
      <c r="E940" s="15"/>
      <c r="F940" s="15"/>
      <c r="G940" s="16" t="str">
        <f aca="false">IF(OR(E940="",F940=""),"",IF(E940=F940,"Yes","No"))</f>
        <v/>
      </c>
      <c r="H940" s="15"/>
      <c r="I940" s="15"/>
      <c r="J940" s="15"/>
      <c r="K940" s="15"/>
    </row>
    <row r="941" customFormat="false" ht="15" hidden="false" customHeight="false" outlineLevel="0" collapsed="false">
      <c r="A941" s="15"/>
      <c r="B941" s="15"/>
      <c r="C941" s="15"/>
      <c r="D941" s="15"/>
      <c r="E941" s="15"/>
      <c r="F941" s="15"/>
      <c r="G941" s="16" t="str">
        <f aca="false">IF(OR(E941="",F941=""),"",IF(E941=F941,"Yes","No"))</f>
        <v/>
      </c>
      <c r="H941" s="15"/>
      <c r="I941" s="15"/>
      <c r="J941" s="15"/>
      <c r="K941" s="15"/>
    </row>
    <row r="942" customFormat="false" ht="15" hidden="false" customHeight="false" outlineLevel="0" collapsed="false">
      <c r="A942" s="15"/>
      <c r="B942" s="15"/>
      <c r="C942" s="15"/>
      <c r="D942" s="15"/>
      <c r="E942" s="15"/>
      <c r="F942" s="15"/>
      <c r="G942" s="16" t="str">
        <f aca="false">IF(OR(E942="",F942=""),"",IF(E942=F942,"Yes","No"))</f>
        <v/>
      </c>
      <c r="H942" s="15"/>
      <c r="I942" s="15"/>
      <c r="J942" s="15"/>
      <c r="K942" s="15"/>
    </row>
    <row r="943" customFormat="false" ht="15" hidden="false" customHeight="false" outlineLevel="0" collapsed="false">
      <c r="A943" s="15"/>
      <c r="B943" s="15"/>
      <c r="C943" s="15"/>
      <c r="D943" s="15"/>
      <c r="E943" s="15"/>
      <c r="F943" s="15"/>
      <c r="G943" s="16" t="str">
        <f aca="false">IF(OR(E943="",F943=""),"",IF(E943=F943,"Yes","No"))</f>
        <v/>
      </c>
      <c r="H943" s="15"/>
      <c r="I943" s="15"/>
      <c r="J943" s="15"/>
      <c r="K943" s="15"/>
    </row>
    <row r="944" customFormat="false" ht="15" hidden="false" customHeight="false" outlineLevel="0" collapsed="false">
      <c r="A944" s="15"/>
      <c r="B944" s="15"/>
      <c r="C944" s="15"/>
      <c r="D944" s="15"/>
      <c r="E944" s="15"/>
      <c r="F944" s="15"/>
      <c r="G944" s="16" t="str">
        <f aca="false">IF(OR(E944="",F944=""),"",IF(E944=F944,"Yes","No"))</f>
        <v/>
      </c>
      <c r="H944" s="15"/>
      <c r="I944" s="15"/>
      <c r="J944" s="15"/>
      <c r="K944" s="15"/>
    </row>
    <row r="945" customFormat="false" ht="15" hidden="false" customHeight="false" outlineLevel="0" collapsed="false">
      <c r="A945" s="15"/>
      <c r="B945" s="15"/>
      <c r="C945" s="15"/>
      <c r="D945" s="15"/>
      <c r="E945" s="15"/>
      <c r="F945" s="15"/>
      <c r="G945" s="16" t="str">
        <f aca="false">IF(OR(E945="",F945=""),"",IF(E945=F945,"Yes","No"))</f>
        <v/>
      </c>
      <c r="H945" s="15"/>
      <c r="I945" s="15"/>
      <c r="J945" s="15"/>
      <c r="K945" s="15"/>
    </row>
    <row r="946" customFormat="false" ht="15" hidden="false" customHeight="false" outlineLevel="0" collapsed="false">
      <c r="A946" s="15"/>
      <c r="B946" s="15"/>
      <c r="C946" s="15"/>
      <c r="D946" s="15"/>
      <c r="E946" s="15"/>
      <c r="F946" s="15"/>
      <c r="G946" s="16" t="str">
        <f aca="false">IF(OR(E946="",F946=""),"",IF(E946=F946,"Yes","No"))</f>
        <v/>
      </c>
      <c r="H946" s="15"/>
      <c r="I946" s="15"/>
      <c r="J946" s="15"/>
      <c r="K946" s="15"/>
    </row>
    <row r="947" customFormat="false" ht="15" hidden="false" customHeight="false" outlineLevel="0" collapsed="false">
      <c r="A947" s="15"/>
      <c r="B947" s="15"/>
      <c r="C947" s="15"/>
      <c r="D947" s="15"/>
      <c r="E947" s="15"/>
      <c r="F947" s="15"/>
      <c r="G947" s="16" t="str">
        <f aca="false">IF(OR(E947="",F947=""),"",IF(E947=F947,"Yes","No"))</f>
        <v/>
      </c>
      <c r="H947" s="15"/>
      <c r="I947" s="15"/>
      <c r="J947" s="15"/>
      <c r="K947" s="15"/>
    </row>
    <row r="948" customFormat="false" ht="15" hidden="false" customHeight="false" outlineLevel="0" collapsed="false">
      <c r="A948" s="15"/>
      <c r="B948" s="15"/>
      <c r="C948" s="15"/>
      <c r="D948" s="15"/>
      <c r="E948" s="15"/>
      <c r="F948" s="15"/>
      <c r="G948" s="16" t="str">
        <f aca="false">IF(OR(E948="",F948=""),"",IF(E948=F948,"Yes","No"))</f>
        <v/>
      </c>
      <c r="H948" s="15"/>
      <c r="I948" s="15"/>
      <c r="J948" s="15"/>
      <c r="K948" s="15"/>
    </row>
    <row r="949" customFormat="false" ht="15" hidden="false" customHeight="false" outlineLevel="0" collapsed="false">
      <c r="A949" s="15"/>
      <c r="B949" s="15"/>
      <c r="C949" s="15"/>
      <c r="D949" s="15"/>
      <c r="E949" s="15"/>
      <c r="F949" s="15"/>
      <c r="G949" s="16" t="str">
        <f aca="false">IF(OR(E949="",F949=""),"",IF(E949=F949,"Yes","No"))</f>
        <v/>
      </c>
      <c r="H949" s="15"/>
      <c r="I949" s="15"/>
      <c r="J949" s="15"/>
      <c r="K949" s="15"/>
    </row>
    <row r="950" customFormat="false" ht="15" hidden="false" customHeight="false" outlineLevel="0" collapsed="false">
      <c r="A950" s="15"/>
      <c r="B950" s="15"/>
      <c r="C950" s="15"/>
      <c r="D950" s="15"/>
      <c r="E950" s="15"/>
      <c r="F950" s="15"/>
      <c r="G950" s="16" t="str">
        <f aca="false">IF(OR(E950="",F950=""),"",IF(E950=F950,"Yes","No"))</f>
        <v/>
      </c>
      <c r="H950" s="15"/>
      <c r="I950" s="15"/>
      <c r="J950" s="15"/>
      <c r="K950" s="15"/>
    </row>
    <row r="951" customFormat="false" ht="15" hidden="false" customHeight="false" outlineLevel="0" collapsed="false">
      <c r="A951" s="15"/>
      <c r="B951" s="15"/>
      <c r="C951" s="15"/>
      <c r="D951" s="15"/>
      <c r="E951" s="15"/>
      <c r="F951" s="15"/>
      <c r="G951" s="16" t="str">
        <f aca="false">IF(OR(E951="",F951=""),"",IF(E951=F951,"Yes","No"))</f>
        <v/>
      </c>
      <c r="H951" s="15"/>
      <c r="I951" s="15"/>
      <c r="J951" s="15"/>
      <c r="K951" s="15"/>
    </row>
    <row r="952" customFormat="false" ht="15" hidden="false" customHeight="false" outlineLevel="0" collapsed="false">
      <c r="A952" s="15"/>
      <c r="B952" s="15"/>
      <c r="C952" s="15"/>
      <c r="D952" s="15"/>
      <c r="E952" s="15"/>
      <c r="F952" s="15"/>
      <c r="G952" s="16" t="str">
        <f aca="false">IF(OR(E952="",F952=""),"",IF(E952=F952,"Yes","No"))</f>
        <v/>
      </c>
      <c r="H952" s="15"/>
      <c r="I952" s="15"/>
      <c r="J952" s="15"/>
      <c r="K952" s="15"/>
    </row>
    <row r="953" customFormat="false" ht="15" hidden="false" customHeight="false" outlineLevel="0" collapsed="false">
      <c r="A953" s="15"/>
      <c r="B953" s="15"/>
      <c r="C953" s="15"/>
      <c r="D953" s="15"/>
      <c r="E953" s="15"/>
      <c r="F953" s="15"/>
      <c r="G953" s="16" t="str">
        <f aca="false">IF(OR(E953="",F953=""),"",IF(E953=F953,"Yes","No"))</f>
        <v/>
      </c>
      <c r="H953" s="15"/>
      <c r="I953" s="15"/>
      <c r="J953" s="15"/>
      <c r="K953" s="15"/>
    </row>
    <row r="954" customFormat="false" ht="15" hidden="false" customHeight="false" outlineLevel="0" collapsed="false">
      <c r="A954" s="15"/>
      <c r="B954" s="15"/>
      <c r="C954" s="15"/>
      <c r="D954" s="15"/>
      <c r="E954" s="15"/>
      <c r="F954" s="15"/>
      <c r="G954" s="16" t="str">
        <f aca="false">IF(OR(E954="",F954=""),"",IF(E954=F954,"Yes","No"))</f>
        <v/>
      </c>
      <c r="H954" s="15"/>
      <c r="I954" s="15"/>
      <c r="J954" s="15"/>
      <c r="K954" s="15"/>
    </row>
    <row r="955" customFormat="false" ht="15" hidden="false" customHeight="false" outlineLevel="0" collapsed="false">
      <c r="A955" s="15"/>
      <c r="B955" s="15"/>
      <c r="C955" s="15"/>
      <c r="D955" s="15"/>
      <c r="E955" s="15"/>
      <c r="F955" s="15"/>
      <c r="G955" s="16" t="str">
        <f aca="false">IF(OR(E955="",F955=""),"",IF(E955=F955,"Yes","No"))</f>
        <v/>
      </c>
      <c r="H955" s="15"/>
      <c r="I955" s="15"/>
      <c r="J955" s="15"/>
      <c r="K955" s="15"/>
    </row>
    <row r="956" customFormat="false" ht="15" hidden="false" customHeight="false" outlineLevel="0" collapsed="false">
      <c r="A956" s="15"/>
      <c r="B956" s="15"/>
      <c r="C956" s="15"/>
      <c r="D956" s="15"/>
      <c r="E956" s="15"/>
      <c r="F956" s="15"/>
      <c r="G956" s="16" t="str">
        <f aca="false">IF(OR(E956="",F956=""),"",IF(E956=F956,"Yes","No"))</f>
        <v/>
      </c>
      <c r="H956" s="15"/>
      <c r="I956" s="15"/>
      <c r="J956" s="15"/>
      <c r="K956" s="15"/>
    </row>
    <row r="957" customFormat="false" ht="15" hidden="false" customHeight="false" outlineLevel="0" collapsed="false">
      <c r="A957" s="15"/>
      <c r="B957" s="15"/>
      <c r="C957" s="15"/>
      <c r="D957" s="15"/>
      <c r="E957" s="15"/>
      <c r="F957" s="15"/>
      <c r="G957" s="16" t="str">
        <f aca="false">IF(OR(E957="",F957=""),"",IF(E957=F957,"Yes","No"))</f>
        <v/>
      </c>
      <c r="H957" s="15"/>
      <c r="I957" s="15"/>
      <c r="J957" s="15"/>
      <c r="K957" s="15"/>
    </row>
    <row r="958" customFormat="false" ht="15" hidden="false" customHeight="false" outlineLevel="0" collapsed="false">
      <c r="A958" s="15"/>
      <c r="B958" s="15"/>
      <c r="C958" s="15"/>
      <c r="D958" s="15"/>
      <c r="E958" s="15"/>
      <c r="F958" s="15"/>
      <c r="G958" s="16" t="str">
        <f aca="false">IF(OR(E958="",F958=""),"",IF(E958=F958,"Yes","No"))</f>
        <v/>
      </c>
      <c r="H958" s="15"/>
      <c r="I958" s="15"/>
      <c r="J958" s="15"/>
      <c r="K958" s="15"/>
    </row>
    <row r="959" customFormat="false" ht="15" hidden="false" customHeight="false" outlineLevel="0" collapsed="false">
      <c r="A959" s="15"/>
      <c r="B959" s="15"/>
      <c r="C959" s="15"/>
      <c r="D959" s="15"/>
      <c r="E959" s="15"/>
      <c r="F959" s="15"/>
      <c r="G959" s="16" t="str">
        <f aca="false">IF(OR(E959="",F959=""),"",IF(E959=F959,"Yes","No"))</f>
        <v/>
      </c>
      <c r="H959" s="15"/>
      <c r="I959" s="15"/>
      <c r="J959" s="15"/>
      <c r="K959" s="15"/>
    </row>
    <row r="960" customFormat="false" ht="15" hidden="false" customHeight="false" outlineLevel="0" collapsed="false">
      <c r="A960" s="15"/>
      <c r="B960" s="15"/>
      <c r="C960" s="15"/>
      <c r="D960" s="15"/>
      <c r="E960" s="15"/>
      <c r="F960" s="15"/>
      <c r="G960" s="16" t="str">
        <f aca="false">IF(OR(E960="",F960=""),"",IF(E960=F960,"Yes","No"))</f>
        <v/>
      </c>
      <c r="H960" s="15"/>
      <c r="I960" s="15"/>
      <c r="J960" s="15"/>
      <c r="K960" s="15"/>
    </row>
    <row r="961" customFormat="false" ht="15" hidden="false" customHeight="false" outlineLevel="0" collapsed="false">
      <c r="A961" s="15"/>
      <c r="B961" s="15"/>
      <c r="C961" s="15"/>
      <c r="D961" s="15"/>
      <c r="E961" s="15"/>
      <c r="F961" s="15"/>
      <c r="G961" s="16" t="str">
        <f aca="false">IF(OR(E961="",F961=""),"",IF(E961=F961,"Yes","No"))</f>
        <v/>
      </c>
      <c r="H961" s="15"/>
      <c r="I961" s="15"/>
      <c r="J961" s="15"/>
      <c r="K961" s="15"/>
    </row>
    <row r="962" customFormat="false" ht="15" hidden="false" customHeight="false" outlineLevel="0" collapsed="false">
      <c r="A962" s="15"/>
      <c r="B962" s="15"/>
      <c r="C962" s="15"/>
      <c r="D962" s="15"/>
      <c r="E962" s="15"/>
      <c r="F962" s="15"/>
      <c r="G962" s="16" t="str">
        <f aca="false">IF(OR(E962="",F962=""),"",IF(E962=F962,"Yes","No"))</f>
        <v/>
      </c>
      <c r="H962" s="15"/>
      <c r="I962" s="15"/>
      <c r="J962" s="15"/>
      <c r="K962" s="15"/>
    </row>
    <row r="963" customFormat="false" ht="15" hidden="false" customHeight="false" outlineLevel="0" collapsed="false">
      <c r="A963" s="15"/>
      <c r="B963" s="15"/>
      <c r="C963" s="15"/>
      <c r="D963" s="15"/>
      <c r="E963" s="15"/>
      <c r="F963" s="15"/>
      <c r="G963" s="16" t="str">
        <f aca="false">IF(OR(E963="",F963=""),"",IF(E963=F963,"Yes","No"))</f>
        <v/>
      </c>
      <c r="H963" s="15"/>
      <c r="I963" s="15"/>
      <c r="J963" s="15"/>
      <c r="K963" s="15"/>
    </row>
    <row r="964" customFormat="false" ht="15" hidden="false" customHeight="false" outlineLevel="0" collapsed="false">
      <c r="A964" s="15"/>
      <c r="B964" s="15"/>
      <c r="C964" s="15"/>
      <c r="D964" s="15"/>
      <c r="E964" s="15"/>
      <c r="F964" s="15"/>
      <c r="G964" s="16" t="str">
        <f aca="false">IF(OR(E964="",F964=""),"",IF(E964=F964,"Yes","No"))</f>
        <v/>
      </c>
      <c r="H964" s="15"/>
      <c r="I964" s="15"/>
      <c r="J964" s="15"/>
      <c r="K964" s="15"/>
    </row>
    <row r="965" customFormat="false" ht="15" hidden="false" customHeight="false" outlineLevel="0" collapsed="false">
      <c r="A965" s="15"/>
      <c r="B965" s="15"/>
      <c r="C965" s="15"/>
      <c r="D965" s="15"/>
      <c r="E965" s="15"/>
      <c r="F965" s="15"/>
      <c r="G965" s="16" t="str">
        <f aca="false">IF(OR(E965="",F965=""),"",IF(E965=F965,"Yes","No"))</f>
        <v/>
      </c>
      <c r="H965" s="15"/>
      <c r="I965" s="15"/>
      <c r="J965" s="15"/>
      <c r="K965" s="15"/>
    </row>
    <row r="966" customFormat="false" ht="15" hidden="false" customHeight="false" outlineLevel="0" collapsed="false">
      <c r="A966" s="15"/>
      <c r="B966" s="15"/>
      <c r="C966" s="15"/>
      <c r="D966" s="15"/>
      <c r="E966" s="15"/>
      <c r="F966" s="15"/>
      <c r="G966" s="16" t="str">
        <f aca="false">IF(OR(E966="",F966=""),"",IF(E966=F966,"Yes","No"))</f>
        <v/>
      </c>
      <c r="H966" s="15"/>
      <c r="I966" s="15"/>
      <c r="J966" s="15"/>
      <c r="K966" s="15"/>
    </row>
    <row r="967" customFormat="false" ht="15" hidden="false" customHeight="false" outlineLevel="0" collapsed="false">
      <c r="A967" s="15"/>
      <c r="B967" s="15"/>
      <c r="C967" s="15"/>
      <c r="D967" s="15"/>
      <c r="E967" s="15"/>
      <c r="F967" s="15"/>
      <c r="G967" s="16" t="str">
        <f aca="false">IF(OR(E967="",F967=""),"",IF(E967=F967,"Yes","No"))</f>
        <v/>
      </c>
      <c r="H967" s="15"/>
      <c r="I967" s="15"/>
      <c r="J967" s="15"/>
      <c r="K967" s="15"/>
    </row>
    <row r="968" customFormat="false" ht="15" hidden="false" customHeight="false" outlineLevel="0" collapsed="false">
      <c r="A968" s="15"/>
      <c r="B968" s="15"/>
      <c r="C968" s="15"/>
      <c r="D968" s="15"/>
      <c r="E968" s="15"/>
      <c r="F968" s="15"/>
      <c r="G968" s="16" t="str">
        <f aca="false">IF(OR(E968="",F968=""),"",IF(E968=F968,"Yes","No"))</f>
        <v/>
      </c>
      <c r="H968" s="15"/>
      <c r="I968" s="15"/>
      <c r="J968" s="15"/>
      <c r="K968" s="15"/>
    </row>
    <row r="969" customFormat="false" ht="15" hidden="false" customHeight="false" outlineLevel="0" collapsed="false">
      <c r="A969" s="15"/>
      <c r="B969" s="15"/>
      <c r="C969" s="15"/>
      <c r="D969" s="15"/>
      <c r="E969" s="15"/>
      <c r="F969" s="15"/>
      <c r="G969" s="16" t="str">
        <f aca="false">IF(OR(E969="",F969=""),"",IF(E969=F969,"Yes","No"))</f>
        <v/>
      </c>
      <c r="H969" s="15"/>
      <c r="I969" s="15"/>
      <c r="J969" s="15"/>
      <c r="K969" s="15"/>
    </row>
    <row r="970" customFormat="false" ht="15" hidden="false" customHeight="false" outlineLevel="0" collapsed="false">
      <c r="A970" s="15"/>
      <c r="B970" s="15"/>
      <c r="C970" s="15"/>
      <c r="D970" s="15"/>
      <c r="E970" s="15"/>
      <c r="F970" s="15"/>
      <c r="G970" s="16" t="str">
        <f aca="false">IF(OR(E970="",F970=""),"",IF(E970=F970,"Yes","No"))</f>
        <v/>
      </c>
      <c r="H970" s="15"/>
      <c r="I970" s="15"/>
      <c r="J970" s="15"/>
      <c r="K970" s="15"/>
    </row>
    <row r="971" customFormat="false" ht="15" hidden="false" customHeight="false" outlineLevel="0" collapsed="false">
      <c r="A971" s="15"/>
      <c r="B971" s="15"/>
      <c r="C971" s="15"/>
      <c r="D971" s="15"/>
      <c r="E971" s="15"/>
      <c r="F971" s="15"/>
      <c r="G971" s="16" t="str">
        <f aca="false">IF(OR(E971="",F971=""),"",IF(E971=F971,"Yes","No"))</f>
        <v/>
      </c>
      <c r="H971" s="15"/>
      <c r="I971" s="15"/>
      <c r="J971" s="15"/>
      <c r="K971" s="15"/>
    </row>
    <row r="972" customFormat="false" ht="15" hidden="false" customHeight="false" outlineLevel="0" collapsed="false">
      <c r="A972" s="15"/>
      <c r="B972" s="15"/>
      <c r="C972" s="15"/>
      <c r="D972" s="15"/>
      <c r="E972" s="15"/>
      <c r="F972" s="15"/>
      <c r="G972" s="16" t="str">
        <f aca="false">IF(OR(E972="",F972=""),"",IF(E972=F972,"Yes","No"))</f>
        <v/>
      </c>
      <c r="H972" s="15"/>
      <c r="I972" s="15"/>
      <c r="J972" s="15"/>
      <c r="K972" s="15"/>
    </row>
    <row r="973" customFormat="false" ht="15" hidden="false" customHeight="false" outlineLevel="0" collapsed="false">
      <c r="A973" s="15"/>
      <c r="B973" s="15"/>
      <c r="C973" s="15"/>
      <c r="D973" s="15"/>
      <c r="E973" s="15"/>
      <c r="F973" s="15"/>
      <c r="G973" s="16" t="str">
        <f aca="false">IF(OR(E973="",F973=""),"",IF(E973=F973,"Yes","No"))</f>
        <v/>
      </c>
      <c r="H973" s="15"/>
      <c r="I973" s="15"/>
      <c r="J973" s="15"/>
      <c r="K973" s="15"/>
    </row>
    <row r="974" customFormat="false" ht="15" hidden="false" customHeight="false" outlineLevel="0" collapsed="false">
      <c r="A974" s="15"/>
      <c r="B974" s="15"/>
      <c r="C974" s="15"/>
      <c r="D974" s="15"/>
      <c r="E974" s="15"/>
      <c r="F974" s="15"/>
      <c r="G974" s="16" t="str">
        <f aca="false">IF(OR(E974="",F974=""),"",IF(E974=F974,"Yes","No"))</f>
        <v/>
      </c>
      <c r="H974" s="15"/>
      <c r="I974" s="15"/>
      <c r="J974" s="15"/>
      <c r="K974" s="15"/>
    </row>
    <row r="975" customFormat="false" ht="15" hidden="false" customHeight="false" outlineLevel="0" collapsed="false">
      <c r="A975" s="15"/>
      <c r="B975" s="15"/>
      <c r="C975" s="15"/>
      <c r="D975" s="15"/>
      <c r="E975" s="15"/>
      <c r="F975" s="15"/>
      <c r="G975" s="16" t="str">
        <f aca="false">IF(OR(E975="",F975=""),"",IF(E975=F975,"Yes","No"))</f>
        <v/>
      </c>
      <c r="H975" s="15"/>
      <c r="I975" s="15"/>
      <c r="J975" s="15"/>
      <c r="K975" s="15"/>
    </row>
    <row r="976" customFormat="false" ht="15" hidden="false" customHeight="false" outlineLevel="0" collapsed="false">
      <c r="A976" s="15"/>
      <c r="B976" s="15"/>
      <c r="C976" s="15"/>
      <c r="D976" s="15"/>
      <c r="E976" s="15"/>
      <c r="F976" s="15"/>
      <c r="G976" s="16" t="str">
        <f aca="false">IF(OR(E976="",F976=""),"",IF(E976=F976,"Yes","No"))</f>
        <v/>
      </c>
      <c r="H976" s="15"/>
      <c r="I976" s="15"/>
      <c r="J976" s="15"/>
      <c r="K976" s="15"/>
    </row>
    <row r="977" customFormat="false" ht="15" hidden="false" customHeight="false" outlineLevel="0" collapsed="false">
      <c r="A977" s="15"/>
      <c r="B977" s="15"/>
      <c r="C977" s="15"/>
      <c r="D977" s="15"/>
      <c r="E977" s="15"/>
      <c r="F977" s="15"/>
      <c r="G977" s="16" t="str">
        <f aca="false">IF(OR(E977="",F977=""),"",IF(E977=F977,"Yes","No"))</f>
        <v/>
      </c>
      <c r="H977" s="15"/>
      <c r="I977" s="15"/>
      <c r="J977" s="15"/>
      <c r="K977" s="15"/>
    </row>
    <row r="978" customFormat="false" ht="15" hidden="false" customHeight="false" outlineLevel="0" collapsed="false">
      <c r="A978" s="15"/>
      <c r="B978" s="15"/>
      <c r="C978" s="15"/>
      <c r="D978" s="15"/>
      <c r="E978" s="15"/>
      <c r="F978" s="15"/>
      <c r="G978" s="16" t="str">
        <f aca="false">IF(OR(E978="",F978=""),"",IF(E978=F978,"Yes","No"))</f>
        <v/>
      </c>
      <c r="H978" s="15"/>
      <c r="I978" s="15"/>
      <c r="J978" s="15"/>
      <c r="K978" s="15"/>
    </row>
    <row r="979" customFormat="false" ht="15" hidden="false" customHeight="false" outlineLevel="0" collapsed="false">
      <c r="A979" s="15"/>
      <c r="B979" s="15"/>
      <c r="C979" s="15"/>
      <c r="D979" s="15"/>
      <c r="E979" s="15"/>
      <c r="F979" s="15"/>
      <c r="G979" s="16" t="str">
        <f aca="false">IF(OR(E979="",F979=""),"",IF(E979=F979,"Yes","No"))</f>
        <v/>
      </c>
      <c r="H979" s="15"/>
      <c r="I979" s="15"/>
      <c r="J979" s="15"/>
      <c r="K979" s="15"/>
    </row>
    <row r="980" customFormat="false" ht="15" hidden="false" customHeight="false" outlineLevel="0" collapsed="false">
      <c r="A980" s="15"/>
      <c r="B980" s="15"/>
      <c r="C980" s="15"/>
      <c r="D980" s="15"/>
      <c r="E980" s="15"/>
      <c r="F980" s="15"/>
      <c r="G980" s="16" t="str">
        <f aca="false">IF(OR(E980="",F980=""),"",IF(E980=F980,"Yes","No"))</f>
        <v/>
      </c>
      <c r="H980" s="15"/>
      <c r="I980" s="15"/>
      <c r="J980" s="15"/>
      <c r="K980" s="15"/>
    </row>
    <row r="981" customFormat="false" ht="15" hidden="false" customHeight="false" outlineLevel="0" collapsed="false">
      <c r="A981" s="15"/>
      <c r="B981" s="15"/>
      <c r="C981" s="15"/>
      <c r="D981" s="15"/>
      <c r="E981" s="15"/>
      <c r="F981" s="15"/>
      <c r="G981" s="16" t="str">
        <f aca="false">IF(OR(E981="",F981=""),"",IF(E981=F981,"Yes","No"))</f>
        <v/>
      </c>
      <c r="H981" s="15"/>
      <c r="I981" s="15"/>
      <c r="J981" s="15"/>
      <c r="K981" s="15"/>
    </row>
    <row r="982" customFormat="false" ht="15" hidden="false" customHeight="false" outlineLevel="0" collapsed="false">
      <c r="A982" s="15"/>
      <c r="B982" s="15"/>
      <c r="C982" s="15"/>
      <c r="D982" s="15"/>
      <c r="E982" s="15"/>
      <c r="F982" s="15"/>
      <c r="G982" s="16" t="str">
        <f aca="false">IF(OR(E982="",F982=""),"",IF(E982=F982,"Yes","No"))</f>
        <v/>
      </c>
      <c r="H982" s="15"/>
      <c r="I982" s="15"/>
      <c r="J982" s="15"/>
      <c r="K982" s="15"/>
    </row>
    <row r="983" customFormat="false" ht="15" hidden="false" customHeight="false" outlineLevel="0" collapsed="false">
      <c r="A983" s="15"/>
      <c r="B983" s="15"/>
      <c r="C983" s="15"/>
      <c r="D983" s="15"/>
      <c r="E983" s="15"/>
      <c r="F983" s="15"/>
      <c r="G983" s="16" t="str">
        <f aca="false">IF(OR(E983="",F983=""),"",IF(E983=F983,"Yes","No"))</f>
        <v/>
      </c>
      <c r="H983" s="15"/>
      <c r="I983" s="15"/>
      <c r="J983" s="15"/>
      <c r="K983" s="15"/>
    </row>
    <row r="984" customFormat="false" ht="15" hidden="false" customHeight="false" outlineLevel="0" collapsed="false">
      <c r="A984" s="15"/>
      <c r="B984" s="15"/>
      <c r="C984" s="15"/>
      <c r="D984" s="15"/>
      <c r="E984" s="15"/>
      <c r="F984" s="15"/>
      <c r="G984" s="16" t="str">
        <f aca="false">IF(OR(E984="",F984=""),"",IF(E984=F984,"Yes","No"))</f>
        <v/>
      </c>
      <c r="H984" s="15"/>
      <c r="I984" s="15"/>
      <c r="J984" s="15"/>
      <c r="K984" s="15"/>
    </row>
    <row r="985" customFormat="false" ht="15" hidden="false" customHeight="false" outlineLevel="0" collapsed="false">
      <c r="A985" s="15"/>
      <c r="B985" s="15"/>
      <c r="C985" s="15"/>
      <c r="D985" s="15"/>
      <c r="E985" s="15"/>
      <c r="F985" s="15"/>
      <c r="G985" s="16" t="str">
        <f aca="false">IF(OR(E985="",F985=""),"",IF(E985=F985,"Yes","No"))</f>
        <v/>
      </c>
      <c r="H985" s="15"/>
      <c r="I985" s="15"/>
      <c r="J985" s="15"/>
      <c r="K985" s="15"/>
    </row>
    <row r="986" customFormat="false" ht="15" hidden="false" customHeight="false" outlineLevel="0" collapsed="false">
      <c r="A986" s="15"/>
      <c r="B986" s="15"/>
      <c r="C986" s="15"/>
      <c r="D986" s="15"/>
      <c r="E986" s="15"/>
      <c r="F986" s="15"/>
      <c r="G986" s="16" t="str">
        <f aca="false">IF(OR(E986="",F986=""),"",IF(E986=F986,"Yes","No"))</f>
        <v/>
      </c>
      <c r="H986" s="15"/>
      <c r="I986" s="15"/>
      <c r="J986" s="15"/>
      <c r="K986" s="15"/>
    </row>
    <row r="987" customFormat="false" ht="15" hidden="false" customHeight="false" outlineLevel="0" collapsed="false">
      <c r="A987" s="15"/>
      <c r="B987" s="15"/>
      <c r="C987" s="15"/>
      <c r="D987" s="15"/>
      <c r="E987" s="15"/>
      <c r="F987" s="15"/>
      <c r="G987" s="16" t="str">
        <f aca="false">IF(OR(E987="",F987=""),"",IF(E987=F987,"Yes","No"))</f>
        <v/>
      </c>
      <c r="H987" s="15"/>
      <c r="I987" s="15"/>
      <c r="J987" s="15"/>
      <c r="K987" s="15"/>
    </row>
    <row r="988" customFormat="false" ht="15" hidden="false" customHeight="false" outlineLevel="0" collapsed="false">
      <c r="A988" s="15"/>
      <c r="B988" s="15"/>
      <c r="C988" s="15"/>
      <c r="D988" s="15"/>
      <c r="E988" s="15"/>
      <c r="F988" s="15"/>
      <c r="G988" s="16" t="str">
        <f aca="false">IF(OR(E988="",F988=""),"",IF(E988=F988,"Yes","No"))</f>
        <v/>
      </c>
      <c r="H988" s="15"/>
      <c r="I988" s="15"/>
      <c r="J988" s="15"/>
      <c r="K988" s="15"/>
    </row>
    <row r="989" customFormat="false" ht="15" hidden="false" customHeight="false" outlineLevel="0" collapsed="false">
      <c r="A989" s="15"/>
      <c r="B989" s="15"/>
      <c r="C989" s="15"/>
      <c r="D989" s="15"/>
      <c r="E989" s="15"/>
      <c r="F989" s="15"/>
      <c r="G989" s="16" t="str">
        <f aca="false">IF(OR(E989="",F989=""),"",IF(E989=F989,"Yes","No"))</f>
        <v/>
      </c>
      <c r="H989" s="15"/>
      <c r="I989" s="15"/>
      <c r="J989" s="15"/>
      <c r="K989" s="15"/>
    </row>
    <row r="990" customFormat="false" ht="15" hidden="false" customHeight="false" outlineLevel="0" collapsed="false">
      <c r="A990" s="15"/>
      <c r="B990" s="15"/>
      <c r="C990" s="15"/>
      <c r="D990" s="15"/>
      <c r="E990" s="15"/>
      <c r="F990" s="15"/>
      <c r="G990" s="16" t="str">
        <f aca="false">IF(OR(E990="",F990=""),"",IF(E990=F990,"Yes","No"))</f>
        <v/>
      </c>
      <c r="H990" s="15"/>
      <c r="I990" s="15"/>
      <c r="J990" s="15"/>
      <c r="K990" s="15"/>
    </row>
    <row r="991" customFormat="false" ht="15" hidden="false" customHeight="false" outlineLevel="0" collapsed="false">
      <c r="A991" s="15"/>
      <c r="B991" s="15"/>
      <c r="C991" s="15"/>
      <c r="D991" s="15"/>
      <c r="E991" s="15"/>
      <c r="F991" s="15"/>
      <c r="G991" s="16" t="str">
        <f aca="false">IF(OR(E991="",F991=""),"",IF(E991=F991,"Yes","No"))</f>
        <v/>
      </c>
      <c r="H991" s="15"/>
      <c r="I991" s="15"/>
      <c r="J991" s="15"/>
      <c r="K991" s="15"/>
    </row>
    <row r="992" customFormat="false" ht="15" hidden="false" customHeight="false" outlineLevel="0" collapsed="false">
      <c r="A992" s="15"/>
      <c r="B992" s="15"/>
      <c r="C992" s="15"/>
      <c r="D992" s="15"/>
      <c r="E992" s="15"/>
      <c r="F992" s="15"/>
      <c r="G992" s="16" t="str">
        <f aca="false">IF(OR(E992="",F992=""),"",IF(E992=F992,"Yes","No"))</f>
        <v/>
      </c>
      <c r="H992" s="15"/>
      <c r="I992" s="15"/>
      <c r="J992" s="15"/>
      <c r="K992" s="15"/>
    </row>
    <row r="993" customFormat="false" ht="15" hidden="false" customHeight="false" outlineLevel="0" collapsed="false">
      <c r="A993" s="15"/>
      <c r="B993" s="15"/>
      <c r="C993" s="15"/>
      <c r="D993" s="15"/>
      <c r="E993" s="15"/>
      <c r="F993" s="15"/>
      <c r="G993" s="16" t="str">
        <f aca="false">IF(OR(E993="",F993=""),"",IF(E993=F993,"Yes","No"))</f>
        <v/>
      </c>
      <c r="H993" s="15"/>
      <c r="I993" s="15"/>
      <c r="J993" s="15"/>
      <c r="K993" s="15"/>
    </row>
    <row r="994" customFormat="false" ht="15" hidden="false" customHeight="false" outlineLevel="0" collapsed="false">
      <c r="A994" s="15"/>
      <c r="B994" s="15"/>
      <c r="C994" s="15"/>
      <c r="D994" s="15"/>
      <c r="E994" s="15"/>
      <c r="F994" s="15"/>
      <c r="G994" s="16" t="str">
        <f aca="false">IF(OR(E994="",F994=""),"",IF(E994=F994,"Yes","No"))</f>
        <v/>
      </c>
      <c r="H994" s="15"/>
      <c r="I994" s="15"/>
      <c r="J994" s="15"/>
      <c r="K994" s="15"/>
    </row>
    <row r="995" customFormat="false" ht="15" hidden="false" customHeight="false" outlineLevel="0" collapsed="false">
      <c r="A995" s="15"/>
      <c r="B995" s="15"/>
      <c r="C995" s="15"/>
      <c r="D995" s="15"/>
      <c r="E995" s="15"/>
      <c r="F995" s="15"/>
      <c r="G995" s="16" t="str">
        <f aca="false">IF(OR(E995="",F995=""),"",IF(E995=F995,"Yes","No"))</f>
        <v/>
      </c>
      <c r="H995" s="15"/>
      <c r="I995" s="15"/>
      <c r="J995" s="15"/>
      <c r="K995" s="15"/>
    </row>
    <row r="996" customFormat="false" ht="15" hidden="false" customHeight="false" outlineLevel="0" collapsed="false">
      <c r="A996" s="15"/>
      <c r="B996" s="15"/>
      <c r="C996" s="15"/>
      <c r="D996" s="15"/>
      <c r="E996" s="15"/>
      <c r="F996" s="15"/>
      <c r="G996" s="16" t="str">
        <f aca="false">IF(OR(E996="",F996=""),"",IF(E996=F996,"Yes","No"))</f>
        <v/>
      </c>
      <c r="H996" s="15"/>
      <c r="I996" s="15"/>
      <c r="J996" s="15"/>
      <c r="K996" s="15"/>
    </row>
    <row r="997" customFormat="false" ht="15" hidden="false" customHeight="false" outlineLevel="0" collapsed="false">
      <c r="A997" s="15"/>
      <c r="B997" s="15"/>
      <c r="C997" s="15"/>
      <c r="D997" s="15"/>
      <c r="E997" s="15"/>
      <c r="F997" s="15"/>
      <c r="G997" s="16" t="str">
        <f aca="false">IF(OR(E997="",F997=""),"",IF(E997=F997,"Yes","No"))</f>
        <v/>
      </c>
      <c r="H997" s="15"/>
      <c r="I997" s="15"/>
      <c r="J997" s="15"/>
      <c r="K997" s="15"/>
    </row>
    <row r="998" customFormat="false" ht="15" hidden="false" customHeight="false" outlineLevel="0" collapsed="false">
      <c r="A998" s="15"/>
      <c r="B998" s="15"/>
      <c r="C998" s="15"/>
      <c r="D998" s="15"/>
      <c r="E998" s="15"/>
      <c r="F998" s="15"/>
      <c r="G998" s="16" t="str">
        <f aca="false">IF(OR(E998="",F998=""),"",IF(E998=F998,"Yes","No"))</f>
        <v/>
      </c>
      <c r="H998" s="15"/>
      <c r="I998" s="15"/>
      <c r="J998" s="15"/>
      <c r="K998" s="15"/>
    </row>
    <row r="999" customFormat="false" ht="15" hidden="false" customHeight="false" outlineLevel="0" collapsed="false">
      <c r="A999" s="15"/>
      <c r="B999" s="15"/>
      <c r="C999" s="15"/>
      <c r="D999" s="15"/>
      <c r="E999" s="15"/>
      <c r="F999" s="15"/>
      <c r="G999" s="16" t="str">
        <f aca="false">IF(OR(E999="",F999=""),"",IF(E999=F999,"Yes","No"))</f>
        <v/>
      </c>
      <c r="H999" s="15"/>
      <c r="I999" s="15"/>
      <c r="J999" s="15"/>
      <c r="K999" s="15"/>
    </row>
    <row r="1000" customFormat="false" ht="15" hidden="false" customHeight="false" outlineLevel="0" collapsed="false">
      <c r="A1000" s="15"/>
      <c r="B1000" s="15"/>
      <c r="C1000" s="15"/>
      <c r="D1000" s="15"/>
      <c r="E1000" s="15"/>
      <c r="F1000" s="15"/>
      <c r="G1000" s="16" t="str">
        <f aca="false">IF(OR(E1000="",F1000=""),"",IF(E1000=F1000,"Yes","No"))</f>
        <v/>
      </c>
      <c r="H1000" s="15"/>
      <c r="I1000" s="15"/>
      <c r="J1000" s="15"/>
      <c r="K1000" s="15"/>
    </row>
  </sheetData>
  <conditionalFormatting sqref="G5:G1000">
    <cfRule type="cellIs" priority="2" operator="equal" aboveAverage="0" equalAverage="0" bottom="0" percent="0" rank="0" text="" dxfId="0">
      <formula>"No"</formula>
    </cfRule>
  </conditionalFormatting>
  <dataValidations count="3">
    <dataValidation allowBlank="true" errorStyle="stop" operator="between" showDropDown="false" showErrorMessage="false" showInputMessage="false" sqref="E5:F1000 H5:H1000" type="list">
      <formula1>Lists!$A$2:$A$4</formula1>
      <formula2>0</formula2>
    </dataValidation>
    <dataValidation allowBlank="true" errorStyle="stop" operator="between" showDropDown="false" showErrorMessage="false" showInputMessage="false" sqref="I5:I1000" type="list">
      <formula1>Lists!$B$2:$B$12</formula1>
      <formula2>0</formula2>
    </dataValidation>
    <dataValidation allowBlank="true" errorStyle="stop" operator="between" showDropDown="false" showErrorMessage="false" showInputMessage="false" sqref="D5:D10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145</v>
      </c>
      <c r="B1" s="2"/>
      <c r="C1" s="2"/>
      <c r="D1" s="2"/>
    </row>
    <row r="2" customFormat="false" ht="15" hidden="false" customHeight="false" outlineLevel="0" collapsed="false">
      <c r="A2" s="3" t="s">
        <v>146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9" t="s">
        <v>147</v>
      </c>
      <c r="B4" s="9" t="s">
        <v>148</v>
      </c>
      <c r="C4" s="9" t="s">
        <v>149</v>
      </c>
      <c r="D4" s="9" t="s">
        <v>150</v>
      </c>
    </row>
    <row r="5" customFormat="false" ht="15" hidden="false" customHeight="false" outlineLevel="0" collapsed="false">
      <c r="A5" s="2" t="s">
        <v>151</v>
      </c>
      <c r="B5" s="16" t="n">
        <f aca="false">COUNTIFS(TA_Screening!$D$5:$D$1000,"&lt;&gt;",TA_Screening!$F$5:$F$1000,"&lt;&gt;")</f>
        <v>0</v>
      </c>
      <c r="C5" s="16" t="n">
        <f aca="false">COUNTIFS(FT_Screening!$E$5:$E$1000,"&lt;&gt;",FT_Screening!$F$5:$F$1000,"&lt;&gt;")</f>
        <v>0</v>
      </c>
      <c r="D5" s="2" t="s">
        <v>152</v>
      </c>
    </row>
    <row r="6" customFormat="false" ht="15" hidden="false" customHeight="false" outlineLevel="0" collapsed="false">
      <c r="A6" s="2" t="s">
        <v>153</v>
      </c>
      <c r="B6" s="16" t="n">
        <f aca="false">COUNTIF(TA_Screening!$H$5:$H$1000,"Yes")</f>
        <v>0</v>
      </c>
      <c r="C6" s="16" t="n">
        <f aca="false">COUNTIF(FT_Screening!$G$5:$G$1000,"Yes")</f>
        <v>0</v>
      </c>
      <c r="D6" s="2"/>
    </row>
    <row r="7" customFormat="false" ht="15" hidden="false" customHeight="false" outlineLevel="0" collapsed="false">
      <c r="A7" s="2" t="s">
        <v>154</v>
      </c>
      <c r="B7" s="16" t="n">
        <f aca="false">COUNTIF(TA_Screening!$H$5:$H$1000,"No")</f>
        <v>0</v>
      </c>
      <c r="C7" s="16" t="n">
        <f aca="false">COUNTIF(FT_Screening!$G$5:$G$1000,"No")</f>
        <v>0</v>
      </c>
      <c r="D7" s="2" t="s">
        <v>155</v>
      </c>
    </row>
    <row r="8" customFormat="false" ht="15" hidden="false" customHeight="false" outlineLevel="0" collapsed="false">
      <c r="A8" s="2" t="s">
        <v>156</v>
      </c>
      <c r="B8" s="17" t="str">
        <f aca="false">IF(B5=0,"",B6/B5)</f>
        <v/>
      </c>
      <c r="C8" s="17" t="str">
        <f aca="false">IF(C5=0,"",C6/C5)</f>
        <v/>
      </c>
      <c r="D8" s="2" t="s">
        <v>157</v>
      </c>
    </row>
    <row r="9" customFormat="false" ht="15" hidden="false" customHeight="false" outlineLevel="0" collapsed="false">
      <c r="A9" s="2" t="s">
        <v>158</v>
      </c>
      <c r="B9" s="16" t="str">
        <f aca="false">IF(B8="","",IF(B8&gt;=0.9,"Yes","NO: recalibrate criteria and re-screen a sample"))</f>
        <v/>
      </c>
      <c r="C9" s="16" t="str">
        <f aca="false">IF(C8="","",IF(C8&gt;=0.9,"Yes","NO: recalibrate criteria and re-screen a sample"))</f>
        <v/>
      </c>
      <c r="D9" s="2" t="s">
        <v>159</v>
      </c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false" outlineLevel="0" collapsed="false">
      <c r="A11" s="7" t="s">
        <v>160</v>
      </c>
      <c r="B11" s="2"/>
      <c r="C11" s="2"/>
      <c r="D11" s="2"/>
    </row>
    <row r="12" customFormat="false" ht="15" hidden="false" customHeight="false" outlineLevel="0" collapsed="false">
      <c r="A12" s="2" t="s">
        <v>161</v>
      </c>
      <c r="B12" s="18" t="str">
        <f aca="false">IF(B5=0,"",((COUNTIF(TA_Screening!$D$5:$D$1000,"Include")*COUNTIF(TA_Screening!$F$5:$F$1000,"Include"))+(COUNTIF(TA_Screening!$D$5:$D$1000,"Exclude")*COUNTIF(TA_Screening!$F$5:$F$1000,"Exclude"))+(COUNTIF(TA_Screening!$D$5:$D$1000,"Maybe")*COUNTIF(TA_Screening!$F$5:$F$1000,"Maybe")))/(B5^2))</f>
        <v/>
      </c>
      <c r="C12" s="18" t="str">
        <f aca="false">IF(C5=0,"",((COUNTIF(FT_Screening!$E$5:$E$1000,"Include")*COUNTIF(FT_Screening!$F$5:$F$1000,"Include"))+(COUNTIF(FT_Screening!$E$5:$E$1000,"Exclude")*COUNTIF(FT_Screening!$F$5:$F$1000,"Exclude"))+(COUNTIF(FT_Screening!$E$5:$E$1000,"Maybe")*COUNTIF(FT_Screening!$F$5:$F$1000,"Maybe")))/(C5^2))</f>
        <v/>
      </c>
      <c r="D12" s="2"/>
    </row>
    <row r="13" customFormat="false" ht="15" hidden="false" customHeight="false" outlineLevel="0" collapsed="false">
      <c r="A13" s="2" t="s">
        <v>162</v>
      </c>
      <c r="B13" s="18" t="str">
        <f aca="false">IF(OR(B8="",B12=""),"",IF(B12=1,1,(B8-B12)/(1-B12)))</f>
        <v/>
      </c>
      <c r="C13" s="18" t="str">
        <f aca="false">IF(OR(C8="",C12=""),"",IF(C12=1,1,(C8-C12)/(1-C12)))</f>
        <v/>
      </c>
      <c r="D13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164</v>
      </c>
      <c r="B1" s="2"/>
      <c r="C1" s="2"/>
      <c r="D1" s="2"/>
    </row>
    <row r="2" customFormat="false" ht="15" hidden="false" customHeight="false" outlineLevel="0" collapsed="false">
      <c r="A2" s="3" t="s">
        <v>165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9" t="s">
        <v>166</v>
      </c>
      <c r="B4" s="9" t="s">
        <v>167</v>
      </c>
      <c r="C4" s="9" t="s">
        <v>168</v>
      </c>
      <c r="D4" s="9" t="s">
        <v>169</v>
      </c>
    </row>
    <row r="5" customFormat="false" ht="15" hidden="false" customHeight="false" outlineLevel="0" collapsed="false">
      <c r="A5" s="2" t="s">
        <v>170</v>
      </c>
      <c r="B5" s="16" t="n">
        <f aca="false">SUM(Search_Log!$F$5:$F$39)</f>
        <v>0</v>
      </c>
      <c r="C5" s="2" t="s">
        <v>171</v>
      </c>
      <c r="D5" s="2"/>
    </row>
    <row r="6" customFormat="false" ht="15" hidden="false" customHeight="false" outlineLevel="0" collapsed="false">
      <c r="A6" s="2" t="s">
        <v>172</v>
      </c>
      <c r="B6" s="16" t="n">
        <f aca="false">COUNTA(Search_Log!$B$5:$B$39)</f>
        <v>0</v>
      </c>
      <c r="C6" s="2" t="s">
        <v>173</v>
      </c>
      <c r="D6" s="2"/>
    </row>
    <row r="7" customFormat="false" ht="15" hidden="false" customHeight="false" outlineLevel="0" collapsed="false">
      <c r="A7" s="2" t="s">
        <v>174</v>
      </c>
      <c r="B7" s="15" t="n">
        <v>0</v>
      </c>
      <c r="C7" s="2" t="s">
        <v>175</v>
      </c>
      <c r="D7" s="2"/>
    </row>
    <row r="8" customFormat="false" ht="15" hidden="false" customHeight="false" outlineLevel="0" collapsed="false">
      <c r="A8" s="2" t="s">
        <v>176</v>
      </c>
      <c r="B8" s="16" t="n">
        <f aca="false">COUNTIF(Records!$L$5:$L$1000,"Y")</f>
        <v>0</v>
      </c>
      <c r="C8" s="2" t="s">
        <v>177</v>
      </c>
      <c r="D8" s="2"/>
    </row>
    <row r="9" customFormat="false" ht="15" hidden="false" customHeight="false" outlineLevel="0" collapsed="false">
      <c r="A9" s="2" t="s">
        <v>178</v>
      </c>
      <c r="B9" s="16" t="n">
        <f aca="false">SUM(Search_Log!$G$5:$G$39)</f>
        <v>0</v>
      </c>
      <c r="C9" s="2" t="s">
        <v>179</v>
      </c>
      <c r="D9" s="2"/>
    </row>
    <row r="10" customFormat="false" ht="15" hidden="false" customHeight="false" outlineLevel="0" collapsed="false">
      <c r="A10" s="2" t="s">
        <v>180</v>
      </c>
      <c r="B10" s="15" t="n">
        <v>0</v>
      </c>
      <c r="C10" s="2" t="s">
        <v>181</v>
      </c>
      <c r="D10" s="2"/>
    </row>
    <row r="11" customFormat="false" ht="15" hidden="false" customHeight="false" outlineLevel="0" collapsed="false">
      <c r="A11" s="2" t="s">
        <v>182</v>
      </c>
      <c r="B11" s="16" t="n">
        <f aca="false">COUNTA(TA_Screening!$A$5:$A$1000)</f>
        <v>0</v>
      </c>
      <c r="C11" s="2" t="s">
        <v>183</v>
      </c>
      <c r="D11" s="16" t="str">
        <f aca="false">IF(B11=B5-B8-B9-B10,"OK","MISMATCH: identified minus removed must equal screened")</f>
        <v>OK</v>
      </c>
    </row>
    <row r="12" customFormat="false" ht="15" hidden="false" customHeight="false" outlineLevel="0" collapsed="false">
      <c r="A12" s="2" t="s">
        <v>184</v>
      </c>
      <c r="B12" s="16" t="n">
        <f aca="false">COUNTIF(TA_Screening!$I$5:$I$1000,"Exclude")</f>
        <v>0</v>
      </c>
      <c r="C12" s="2" t="s">
        <v>185</v>
      </c>
      <c r="D12" s="16" t="str">
        <f aca="false">IF(COUNTIF(TA_Screening!$I$5:$I$1000,"Maybe")&gt;0,"Unresolved Maybe remain","OK")</f>
        <v>OK</v>
      </c>
    </row>
    <row r="13" customFormat="false" ht="15" hidden="false" customHeight="false" outlineLevel="0" collapsed="false">
      <c r="A13" s="2" t="s">
        <v>186</v>
      </c>
      <c r="B13" s="16" t="n">
        <f aca="false">COUNTA(FT_Screening!$A$5:$A$1000)</f>
        <v>0</v>
      </c>
      <c r="C13" s="2" t="s">
        <v>187</v>
      </c>
      <c r="D13" s="16" t="str">
        <f aca="false">IF(B13=B11-B12+B7,"OK","MISMATCH: screened minus excluded (+ other-method reports) must equal sought")</f>
        <v>OK</v>
      </c>
    </row>
    <row r="14" customFormat="false" ht="15" hidden="false" customHeight="false" outlineLevel="0" collapsed="false">
      <c r="A14" s="2" t="s">
        <v>188</v>
      </c>
      <c r="B14" s="16" t="n">
        <f aca="false">COUNTIF(FT_Screening!$D$5:$D$1000,"N")</f>
        <v>0</v>
      </c>
      <c r="C14" s="2" t="s">
        <v>189</v>
      </c>
      <c r="D14" s="2"/>
    </row>
    <row r="15" customFormat="false" ht="15" hidden="false" customHeight="false" outlineLevel="0" collapsed="false">
      <c r="A15" s="2" t="s">
        <v>190</v>
      </c>
      <c r="B15" s="16" t="n">
        <f aca="false">B13-B14</f>
        <v>0</v>
      </c>
      <c r="C15" s="2" t="s">
        <v>191</v>
      </c>
      <c r="D15" s="2"/>
    </row>
    <row r="16" customFormat="false" ht="15" hidden="false" customHeight="false" outlineLevel="0" collapsed="false">
      <c r="A16" s="2" t="s">
        <v>192</v>
      </c>
      <c r="B16" s="16" t="n">
        <f aca="false">COUNTIF(FT_Screening!$H$5:$H$1000,"Exclude")</f>
        <v>0</v>
      </c>
      <c r="C16" s="2" t="s">
        <v>193</v>
      </c>
      <c r="D16" s="16" t="str">
        <f aca="false">IF(B16=SUM(B20:B30),"OK","MISMATCH: reason counts do not sum to total excluded")</f>
        <v>OK</v>
      </c>
    </row>
    <row r="17" customFormat="false" ht="15" hidden="false" customHeight="false" outlineLevel="0" collapsed="false">
      <c r="A17" s="2" t="s">
        <v>194</v>
      </c>
      <c r="B17" s="16" t="n">
        <f aca="false">COUNTIF(FT_Screening!$H$5:$H$1000,"Include")</f>
        <v>0</v>
      </c>
      <c r="C17" s="2" t="s">
        <v>195</v>
      </c>
      <c r="D17" s="16" t="str">
        <f aca="false">IF(B17=B15-B16,"OK","MISMATCH: assessed minus excluded must equal included")</f>
        <v>OK</v>
      </c>
    </row>
    <row r="18" customFormat="false" ht="15" hidden="false" customHeight="false" outlineLevel="0" collapsed="false">
      <c r="A18" s="7" t="s">
        <v>196</v>
      </c>
      <c r="B18" s="2"/>
      <c r="C18" s="2"/>
      <c r="D18" s="2"/>
    </row>
    <row r="19" customFormat="false" ht="15" hidden="false" customHeight="false" outlineLevel="0" collapsed="false">
      <c r="A19" s="7" t="s">
        <v>197</v>
      </c>
      <c r="B19" s="7" t="s">
        <v>167</v>
      </c>
      <c r="C19" s="7" t="s">
        <v>198</v>
      </c>
      <c r="D19" s="2"/>
    </row>
    <row r="20" customFormat="false" ht="15" hidden="false" customHeight="false" outlineLevel="0" collapsed="false">
      <c r="A20" s="2" t="s">
        <v>199</v>
      </c>
      <c r="B20" s="16" t="n">
        <f aca="false">COUNTIFS(FT_Screening!$H$5:$H$1000,"Exclude",FT_Screening!$I$5:$I$1000,A20)</f>
        <v>0</v>
      </c>
      <c r="C20" s="2" t="str">
        <f aca="false">INDEX(Lists!$C$2:$C$12,MATCH(A20,Lists!$B$2:$B$12,0))</f>
        <v>Not empirical (conceptual, opinion, editorial)</v>
      </c>
      <c r="D20" s="2"/>
    </row>
    <row r="21" customFormat="false" ht="15" hidden="false" customHeight="false" outlineLevel="0" collapsed="false">
      <c r="A21" s="2" t="s">
        <v>200</v>
      </c>
      <c r="B21" s="16" t="n">
        <f aca="false">COUNTIFS(FT_Screening!$H$5:$H$1000,"Exclude",FT_Screening!$I$5:$I$1000,A21)</f>
        <v>0</v>
      </c>
      <c r="C21" s="2" t="str">
        <f aca="false">INDEX(Lists!$C$2:$C$12,MATCH(A21,Lists!$B$2:$B$12,0))</f>
        <v>Wrong document type (book chapter, conference paper, thesis, review)</v>
      </c>
      <c r="D21" s="2"/>
    </row>
    <row r="22" customFormat="false" ht="15" hidden="false" customHeight="false" outlineLevel="0" collapsed="false">
      <c r="A22" s="2" t="s">
        <v>201</v>
      </c>
      <c r="B22" s="16" t="n">
        <f aca="false">COUNTIFS(FT_Screening!$H$5:$H$1000,"Exclude",FT_Screening!$I$5:$I$1000,A22)</f>
        <v>0</v>
      </c>
      <c r="C22" s="2" t="str">
        <f aca="false">INDEX(Lists!$C$2:$C$12,MATCH(A22,Lists!$B$2:$B$12,0))</f>
        <v>Not English</v>
      </c>
      <c r="D22" s="2"/>
    </row>
    <row r="23" customFormat="false" ht="15" hidden="false" customHeight="false" outlineLevel="0" collapsed="false">
      <c r="A23" s="2" t="s">
        <v>202</v>
      </c>
      <c r="B23" s="16" t="n">
        <f aca="false">COUNTIFS(FT_Screening!$H$5:$H$1000,"Exclude",FT_Screening!$I$5:$I$1000,A23)</f>
        <v>0</v>
      </c>
      <c r="C23" s="2" t="str">
        <f aca="false">INDEX(Lists!$C$2:$C$12,MATCH(A23,Lists!$B$2:$B$12,0))</f>
        <v>Outside time window</v>
      </c>
      <c r="D23" s="2"/>
    </row>
    <row r="24" customFormat="false" ht="15" hidden="false" customHeight="false" outlineLevel="0" collapsed="false">
      <c r="A24" s="2" t="s">
        <v>203</v>
      </c>
      <c r="B24" s="16" t="n">
        <f aca="false">COUNTIFS(FT_Screening!$H$5:$H$1000,"Exclude",FT_Screening!$I$5:$I$1000,A24)</f>
        <v>0</v>
      </c>
      <c r="C24" s="2" t="str">
        <f aca="false">INDEX(Lists!$C$2:$C$12,MATCH(A24,Lists!$B$2:$B$12,0))</f>
        <v>Outside field / subject area</v>
      </c>
      <c r="D24" s="2"/>
    </row>
    <row r="25" customFormat="false" ht="15" hidden="false" customHeight="false" outlineLevel="0" collapsed="false">
      <c r="A25" s="2" t="s">
        <v>204</v>
      </c>
      <c r="B25" s="16" t="n">
        <f aca="false">COUNTIFS(FT_Screening!$H$5:$H$1000,"Exclude",FT_Screening!$I$5:$I$1000,A25)</f>
        <v>0</v>
      </c>
      <c r="C25" s="2" t="str">
        <f aca="false">INDEX(Lists!$C$2:$C$12,MATCH(A25,Lists!$B$2:$B$12,0))</f>
        <v>Off topic: does not address the research question</v>
      </c>
      <c r="D25" s="2"/>
    </row>
    <row r="26" customFormat="false" ht="15" hidden="false" customHeight="false" outlineLevel="0" collapsed="false">
      <c r="A26" s="2" t="s">
        <v>205</v>
      </c>
      <c r="B26" s="16" t="n">
        <f aca="false">COUNTIFS(FT_Screening!$H$5:$H$1000,"Exclude",FT_Screening!$I$5:$I$1000,A26)</f>
        <v>0</v>
      </c>
      <c r="C26" s="2" t="str">
        <f aca="false">INDEX(Lists!$C$2:$C$12,MATCH(A26,Lists!$B$2:$B$12,0))</f>
        <v>Wrong population or actor (e.g. follower gender instead of leader gender)</v>
      </c>
      <c r="D26" s="2"/>
    </row>
    <row r="27" customFormat="false" ht="15" hidden="false" customHeight="false" outlineLevel="0" collapsed="false">
      <c r="A27" s="2" t="s">
        <v>206</v>
      </c>
      <c r="B27" s="16" t="n">
        <f aca="false">COUNTIFS(FT_Screening!$H$5:$H$1000,"Exclude",FT_Screening!$I$5:$I$1000,A27)</f>
        <v>0</v>
      </c>
      <c r="C27" s="2" t="str">
        <f aca="false">INDEX(Lists!$C$2:$C$12,MATCH(A27,Lists!$B$2:$B$12,0))</f>
        <v>Key construct missing (e.g. no gender dimension, no trust outcome)</v>
      </c>
      <c r="D27" s="2"/>
    </row>
    <row r="28" customFormat="false" ht="15" hidden="false" customHeight="false" outlineLevel="0" collapsed="false">
      <c r="A28" s="2" t="s">
        <v>207</v>
      </c>
      <c r="B28" s="16" t="n">
        <f aca="false">COUNTIFS(FT_Screening!$H$5:$H$1000,"Exclude",FT_Screening!$I$5:$I$1000,A28)</f>
        <v>0</v>
      </c>
      <c r="C28" s="2" t="str">
        <f aca="false">INDEX(Lists!$C$2:$C$12,MATCH(A28,Lists!$B$2:$B$12,0))</f>
        <v>Below quality threshold (e.g. impact factor)</v>
      </c>
      <c r="D28" s="2"/>
    </row>
    <row r="29" customFormat="false" ht="15" hidden="false" customHeight="false" outlineLevel="0" collapsed="false">
      <c r="A29" s="2" t="s">
        <v>208</v>
      </c>
      <c r="B29" s="16" t="n">
        <f aca="false">COUNTIFS(FT_Screening!$H$5:$H$1000,"Exclude",FT_Screening!$I$5:$I$1000,A29)</f>
        <v>0</v>
      </c>
      <c r="C29" s="2" t="str">
        <f aca="false">INDEX(Lists!$C$2:$C$12,MATCH(A29,Lists!$B$2:$B$12,0))</f>
        <v>Full text not retrievable</v>
      </c>
      <c r="D29" s="2"/>
    </row>
    <row r="30" customFormat="false" ht="15" hidden="false" customHeight="false" outlineLevel="0" collapsed="false">
      <c r="A30" s="2" t="s">
        <v>209</v>
      </c>
      <c r="B30" s="16" t="n">
        <f aca="false">COUNTIFS(FT_Screening!$H$5:$H$1000,"Exclude",FT_Screening!$I$5:$I$1000,A30)</f>
        <v>0</v>
      </c>
      <c r="C30" s="2" t="str">
        <f aca="false">INDEX(Lists!$C$2:$C$12,MATCH(A30,Lists!$B$2:$B$12,0))</f>
        <v>Other (explain in Notes)</v>
      </c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7" t="s">
        <v>210</v>
      </c>
      <c r="B32" s="2"/>
      <c r="C32" s="2"/>
      <c r="D32" s="2"/>
    </row>
    <row r="33" customFormat="false" ht="15" hidden="false" customHeight="false" outlineLevel="0" collapsed="false">
      <c r="A33" s="2" t="s">
        <v>211</v>
      </c>
      <c r="B33" s="2"/>
      <c r="C33" s="2"/>
      <c r="D33" s="16" t="str">
        <f aca="false">IF(COUNTIFS(FT_Screening!$H$5:$H$1000,"Exclude",FT_Screening!$I$5:$I$1000,"")=0,"OK","Missing reason codes")</f>
        <v>OK</v>
      </c>
    </row>
    <row r="34" customFormat="false" ht="15" hidden="false" customHeight="false" outlineLevel="0" collapsed="false">
      <c r="A34" s="2" t="s">
        <v>212</v>
      </c>
      <c r="B34" s="2"/>
      <c r="C34" s="2"/>
      <c r="D34" s="16" t="str">
        <f aca="false">IF(COUNTIFS(TA_Screening!$H$5:$H$1000,"No",TA_Screening!$I$5:$I$1000,"")=0,"OK","Unresolved disagreements")</f>
        <v>OK</v>
      </c>
    </row>
    <row r="35" customFormat="false" ht="15" hidden="false" customHeight="false" outlineLevel="0" collapsed="false">
      <c r="A35" s="2" t="s">
        <v>213</v>
      </c>
      <c r="B35" s="2"/>
      <c r="C35" s="2"/>
      <c r="D35" s="16" t="str">
        <f aca="false">IF(COUNTIFS(FT_Screening!$G$5:$G$1000,"No",FT_Screening!$H$5:$H$1000,"")=0,"OK","Unresolved disagreements")</f>
        <v>OK</v>
      </c>
    </row>
    <row r="36" customFormat="false" ht="15" hidden="false" customHeight="false" outlineLevel="0" collapsed="false">
      <c r="A36" s="2" t="s">
        <v>214</v>
      </c>
      <c r="B36" s="2"/>
      <c r="C36" s="2"/>
      <c r="D36" s="16" t="str">
        <f aca="false">IF(AND(Reliability!B9="Yes",Reliability!C9="Yes"),"OK","Check Reliability sheet")</f>
        <v>Check Reliability sheet</v>
      </c>
    </row>
  </sheetData>
  <conditionalFormatting sqref="D5:D36">
    <cfRule type="expression" priority="2" aboveAverage="0" equalAverage="0" bottom="0" percent="0" rank="0" text="" dxfId="0">
      <formula>LEFT(D5,8)="MISMATCH"</formula>
    </cfRule>
    <cfRule type="expression" priority="3" aboveAverage="0" equalAverage="0" bottom="0" percent="0" rank="0" text="" dxfId="1">
      <formula>D5="OK"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215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5.5" hidden="false" customHeight="true" outlineLevel="0" collapsed="false">
      <c r="A4" s="19" t="s">
        <v>216</v>
      </c>
      <c r="B4" s="20" t="str">
        <f aca="false">"Records identified from databases and registers (n = "&amp;PRISMA_Counts!B5&amp;")"&amp;CHAR(10)&amp;"Databases (n = "&amp;PRISMA_Counts!B6&amp;")"</f>
        <v>Records identified from databases and registers (n = 0)
Databases (n = 0)</v>
      </c>
      <c r="C4" s="20"/>
      <c r="D4" s="20"/>
      <c r="E4" s="20" t="str">
        <f aca="false">"Identification via other methods: reports sought from citation searching (n = "&amp;PRISMA_Counts!B7&amp;")"</f>
        <v>Identification via other methods: reports sought from citation searching (n = 0)</v>
      </c>
      <c r="F4" s="20"/>
      <c r="G4" s="20"/>
    </row>
    <row r="5" customFormat="false" ht="25.5" hidden="false" customHeight="true" outlineLevel="0" collapsed="false">
      <c r="A5" s="19"/>
      <c r="B5" s="20"/>
      <c r="C5" s="20"/>
      <c r="D5" s="20"/>
      <c r="E5" s="20"/>
      <c r="F5" s="20"/>
      <c r="G5" s="20"/>
    </row>
    <row r="6" customFormat="false" ht="25.5" hidden="false" customHeight="true" outlineLevel="0" collapsed="false">
      <c r="A6" s="19"/>
      <c r="B6" s="20"/>
      <c r="C6" s="20"/>
      <c r="D6" s="20"/>
      <c r="E6" s="20"/>
      <c r="F6" s="20"/>
      <c r="G6" s="20"/>
    </row>
    <row r="7" customFormat="false" ht="25.5" hidden="false" customHeight="true" outlineLevel="0" collapsed="false">
      <c r="A7" s="19"/>
      <c r="B7" s="21" t="str">
        <f aca="false">"Records removed before screening:"&amp;CHAR(10)&amp;"Duplicates (n = "&amp;PRISMA_Counts!B8&amp;")"&amp;CHAR(10)&amp;"Marked ineligible by filters (n = "&amp;PRISMA_Counts!B9&amp;")"&amp;CHAR(10)&amp;"Other reasons (n = "&amp;PRISMA_Counts!B10&amp;")"</f>
        <v>Records removed before screening:
Duplicates (n = 0)
Marked ineligible by filters (n = 0)
Other reasons (n = 0)</v>
      </c>
      <c r="C7" s="21"/>
      <c r="D7" s="21"/>
      <c r="E7" s="2"/>
      <c r="F7" s="2"/>
      <c r="G7" s="2"/>
    </row>
    <row r="8" customFormat="false" ht="25.5" hidden="false" customHeight="true" outlineLevel="0" collapsed="false">
      <c r="A8" s="19"/>
      <c r="B8" s="21"/>
      <c r="C8" s="21"/>
      <c r="D8" s="21"/>
      <c r="E8" s="2"/>
      <c r="F8" s="2"/>
      <c r="G8" s="2"/>
    </row>
    <row r="9" customFormat="false" ht="25.5" hidden="false" customHeight="true" outlineLevel="0" collapsed="false">
      <c r="A9" s="19"/>
      <c r="B9" s="21"/>
      <c r="C9" s="21"/>
      <c r="D9" s="21"/>
      <c r="E9" s="2"/>
      <c r="F9" s="2"/>
      <c r="G9" s="2"/>
    </row>
    <row r="10" customFormat="false" ht="25.5" hidden="false" customHeight="true" outlineLevel="0" collapsed="false">
      <c r="A10" s="19" t="s">
        <v>217</v>
      </c>
      <c r="B10" s="20" t="str">
        <f aca="false">"Records screened (n = "&amp;PRISMA_Counts!B11&amp;")"</f>
        <v>Records screened (n = 0)</v>
      </c>
      <c r="C10" s="20"/>
      <c r="D10" s="20"/>
      <c r="E10" s="21" t="str">
        <f aca="false">"Records excluded (n = "&amp;PRISMA_Counts!B12&amp;")"</f>
        <v>Records excluded (n = 0)</v>
      </c>
      <c r="F10" s="21"/>
      <c r="G10" s="21"/>
    </row>
    <row r="11" customFormat="false" ht="25.5" hidden="false" customHeight="true" outlineLevel="0" collapsed="false">
      <c r="A11" s="19"/>
      <c r="B11" s="20"/>
      <c r="C11" s="20"/>
      <c r="D11" s="20"/>
      <c r="E11" s="21"/>
      <c r="F11" s="21"/>
      <c r="G11" s="21"/>
    </row>
    <row r="12" customFormat="false" ht="25.5" hidden="false" customHeight="true" outlineLevel="0" collapsed="false">
      <c r="A12" s="19"/>
      <c r="B12" s="20" t="str">
        <f aca="false">"Reports sought for retrieval (n = "&amp;PRISMA_Counts!B13&amp;")"</f>
        <v>Reports sought for retrieval (n = 0)</v>
      </c>
      <c r="C12" s="20"/>
      <c r="D12" s="20"/>
      <c r="E12" s="21" t="str">
        <f aca="false">"Reports not retrieved (n = "&amp;PRISMA_Counts!B14&amp;")"</f>
        <v>Reports not retrieved (n = 0)</v>
      </c>
      <c r="F12" s="21"/>
      <c r="G12" s="21"/>
    </row>
    <row r="13" customFormat="false" ht="25.5" hidden="false" customHeight="true" outlineLevel="0" collapsed="false">
      <c r="A13" s="19"/>
      <c r="B13" s="20"/>
      <c r="C13" s="20"/>
      <c r="D13" s="20"/>
      <c r="E13" s="21"/>
      <c r="F13" s="21"/>
      <c r="G13" s="21"/>
    </row>
    <row r="14" customFormat="false" ht="60" hidden="false" customHeight="true" outlineLevel="0" collapsed="false">
      <c r="A14" s="19"/>
      <c r="B14" s="20" t="str">
        <f aca="false">"Reports assessed for eligibility (n = "&amp;PRISMA_Counts!B15&amp;")"</f>
        <v>Reports assessed for eligibility (n = 0)</v>
      </c>
      <c r="C14" s="20"/>
      <c r="D14" s="20"/>
      <c r="E14" s="21" t="str">
        <f aca="false">"Reports excluded (n = "&amp;PRISMA_Counts!B16&amp;")"&amp;IF(PRISMA_Counts!B20&gt;0,CHAR(10)&amp;PRISMA_Counts!A20&amp;": "&amp;INDEX(Lists!$C$2:$C$12,MATCH(PRISMA_Counts!A20,Lists!$B$2:$B$12,0))&amp;" (n = "&amp;PRISMA_Counts!B20&amp;")","")&amp;IF(PRISMA_Counts!B21&gt;0,CHAR(10)&amp;PRISMA_Counts!A21&amp;": "&amp;INDEX(Lists!$C$2:$C$12,MATCH(PRISMA_Counts!A21,Lists!$B$2:$B$12,0))&amp;" (n = "&amp;PRISMA_Counts!B21&amp;")","")&amp;IF(PRISMA_Counts!B22&gt;0,CHAR(10)&amp;PRISMA_Counts!A22&amp;": "&amp;INDEX(Lists!$C$2:$C$12,MATCH(PRISMA_Counts!A22,Lists!$B$2:$B$12,0))&amp;" (n = "&amp;PRISMA_Counts!B22&amp;")","")&amp;IF(PRISMA_Counts!B23&gt;0,CHAR(10)&amp;PRISMA_Counts!A23&amp;": "&amp;INDEX(Lists!$C$2:$C$12,MATCH(PRISMA_Counts!A23,Lists!$B$2:$B$12,0))&amp;" (n = "&amp;PRISMA_Counts!B23&amp;")","")&amp;IF(PRISMA_Counts!B24&gt;0,CHAR(10)&amp;PRISMA_Counts!A24&amp;": "&amp;INDEX(Lists!$C$2:$C$12,MATCH(PRISMA_Counts!A24,Lists!$B$2:$B$12,0))&amp;" (n = "&amp;PRISMA_Counts!B24&amp;")","")&amp;IF(PRISMA_Counts!B25&gt;0,CHAR(10)&amp;PRISMA_Counts!A25&amp;": "&amp;INDEX(Lists!$C$2:$C$12,MATCH(PRISMA_Counts!A25,Lists!$B$2:$B$12,0))&amp;" (n = "&amp;PRISMA_Counts!B25&amp;")","")&amp;IF(PRISMA_Counts!B26&gt;0,CHAR(10)&amp;PRISMA_Counts!A26&amp;": "&amp;INDEX(Lists!$C$2:$C$12,MATCH(PRISMA_Counts!A26,Lists!$B$2:$B$12,0))&amp;" (n = "&amp;PRISMA_Counts!B26&amp;")","")&amp;IF(PRISMA_Counts!B27&gt;0,CHAR(10)&amp;PRISMA_Counts!A27&amp;": "&amp;INDEX(Lists!$C$2:$C$12,MATCH(PRISMA_Counts!A27,Lists!$B$2:$B$12,0))&amp;" (n = "&amp;PRISMA_Counts!B27&amp;")","")&amp;IF(PRISMA_Counts!B28&gt;0,CHAR(10)&amp;PRISMA_Counts!A28&amp;": "&amp;INDEX(Lists!$C$2:$C$12,MATCH(PRISMA_Counts!A28,Lists!$B$2:$B$12,0))&amp;" (n = "&amp;PRISMA_Counts!B28&amp;")","")&amp;IF(PRISMA_Counts!B29&gt;0,CHAR(10)&amp;PRISMA_Counts!A29&amp;": "&amp;INDEX(Lists!$C$2:$C$12,MATCH(PRISMA_Counts!A29,Lists!$B$2:$B$12,0))&amp;" (n = "&amp;PRISMA_Counts!B29&amp;")","")&amp;IF(PRISMA_Counts!B30&gt;0,CHAR(10)&amp;PRISMA_Counts!A30&amp;": "&amp;INDEX(Lists!$C$2:$C$12,MATCH(PRISMA_Counts!A30,Lists!$B$2:$B$12,0))&amp;" (n = "&amp;PRISMA_Counts!B30&amp;")","")</f>
        <v>Reports excluded (n = 0)</v>
      </c>
      <c r="F14" s="21"/>
      <c r="G14" s="21"/>
    </row>
    <row r="15" customFormat="false" ht="60" hidden="false" customHeight="true" outlineLevel="0" collapsed="false">
      <c r="A15" s="19"/>
      <c r="B15" s="20"/>
      <c r="C15" s="20"/>
      <c r="D15" s="20"/>
      <c r="E15" s="21"/>
      <c r="F15" s="21"/>
      <c r="G15" s="21"/>
    </row>
    <row r="16" customFormat="false" ht="25.5" hidden="false" customHeight="true" outlineLevel="0" collapsed="false">
      <c r="A16" s="19" t="s">
        <v>218</v>
      </c>
      <c r="B16" s="22" t="str">
        <f aca="false">"Studies included in review (n = "&amp;PRISMA_Counts!B17&amp;")"</f>
        <v>Studies included in review (n = 0)</v>
      </c>
      <c r="C16" s="22"/>
      <c r="D16" s="22"/>
      <c r="E16" s="2"/>
      <c r="F16" s="2"/>
      <c r="G16" s="2"/>
    </row>
    <row r="17" customFormat="false" ht="25.5" hidden="false" customHeight="true" outlineLevel="0" collapsed="false">
      <c r="A17" s="19"/>
      <c r="B17" s="22"/>
      <c r="C17" s="22"/>
      <c r="D17" s="22"/>
      <c r="E17" s="2"/>
      <c r="F17" s="2"/>
      <c r="G17" s="2"/>
    </row>
    <row r="18" customFormat="false" ht="25.5" hidden="false" customHeight="true" outlineLevel="0" collapsed="false">
      <c r="A18" s="19"/>
      <c r="B18" s="22"/>
      <c r="C18" s="22"/>
      <c r="D18" s="22"/>
      <c r="E18" s="2"/>
      <c r="F18" s="2"/>
      <c r="G18" s="2"/>
    </row>
    <row r="19" customFormat="false" ht="25.5" hidden="false" customHeight="true" outlineLevel="0" collapsed="false">
      <c r="A19" s="19"/>
      <c r="B19" s="22"/>
      <c r="C19" s="22"/>
      <c r="D19" s="2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12" t="s">
        <v>219</v>
      </c>
      <c r="B21" s="2"/>
      <c r="C21" s="2"/>
      <c r="D21" s="2"/>
      <c r="E21" s="2"/>
      <c r="F21" s="2"/>
      <c r="G21" s="2"/>
    </row>
  </sheetData>
  <mergeCells count="13">
    <mergeCell ref="A4:A9"/>
    <mergeCell ref="B4:D6"/>
    <mergeCell ref="E4:G6"/>
    <mergeCell ref="B7:D9"/>
    <mergeCell ref="A10:A15"/>
    <mergeCell ref="B10:D11"/>
    <mergeCell ref="E10:G11"/>
    <mergeCell ref="B12:D13"/>
    <mergeCell ref="E12:G13"/>
    <mergeCell ref="B14:D15"/>
    <mergeCell ref="E14:G15"/>
    <mergeCell ref="A16:A19"/>
    <mergeCell ref="B16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44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9" t="s">
        <v>103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221</v>
      </c>
      <c r="G3" s="9" t="s">
        <v>222</v>
      </c>
      <c r="H3" s="9" t="s">
        <v>223</v>
      </c>
      <c r="I3" s="9" t="s">
        <v>224</v>
      </c>
      <c r="J3" s="9" t="s">
        <v>225</v>
      </c>
      <c r="K3" s="9" t="s">
        <v>226</v>
      </c>
      <c r="L3" s="9" t="s">
        <v>227</v>
      </c>
    </row>
    <row r="4" customFormat="false" ht="15" hidden="false" customHeight="false" outlineLevel="0" collapsed="false">
      <c r="A4" s="13" t="s">
        <v>116</v>
      </c>
      <c r="B4" s="13" t="s">
        <v>118</v>
      </c>
      <c r="C4" s="13" t="n">
        <v>2024</v>
      </c>
      <c r="D4" s="13" t="s">
        <v>119</v>
      </c>
      <c r="E4" s="13" t="s">
        <v>120</v>
      </c>
      <c r="F4" s="13" t="s">
        <v>228</v>
      </c>
      <c r="G4" s="13" t="s">
        <v>229</v>
      </c>
      <c r="H4" s="13" t="s">
        <v>230</v>
      </c>
      <c r="I4" s="13" t="s">
        <v>231</v>
      </c>
      <c r="J4" s="13" t="s">
        <v>232</v>
      </c>
      <c r="K4" s="13" t="s">
        <v>233</v>
      </c>
      <c r="L4" s="13" t="s">
        <v>234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8" min="3" style="0" width="16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235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236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11" t="s">
        <v>237</v>
      </c>
      <c r="D3" s="11" t="s">
        <v>237</v>
      </c>
      <c r="E3" s="11" t="s">
        <v>238</v>
      </c>
      <c r="F3" s="11" t="s">
        <v>238</v>
      </c>
      <c r="G3" s="11" t="s">
        <v>239</v>
      </c>
      <c r="H3" s="11" t="s">
        <v>239</v>
      </c>
      <c r="I3" s="2"/>
    </row>
    <row r="4" customFormat="false" ht="26.85" hidden="false" customHeight="false" outlineLevel="0" collapsed="false">
      <c r="A4" s="23" t="s">
        <v>240</v>
      </c>
      <c r="B4" s="23" t="s">
        <v>241</v>
      </c>
      <c r="C4" s="24" t="s">
        <v>242</v>
      </c>
      <c r="D4" s="24" t="s">
        <v>243</v>
      </c>
      <c r="E4" s="24" t="s">
        <v>244</v>
      </c>
      <c r="F4" s="24" t="s">
        <v>245</v>
      </c>
      <c r="G4" s="24" t="s">
        <v>246</v>
      </c>
      <c r="H4" s="24" t="s">
        <v>247</v>
      </c>
      <c r="I4" s="23" t="s">
        <v>248</v>
      </c>
    </row>
    <row r="5" customFormat="false" ht="15" hidden="false" customHeight="false" outlineLevel="0" collapsed="false">
      <c r="A5" s="25" t="s">
        <v>116</v>
      </c>
      <c r="B5" s="25" t="s">
        <v>249</v>
      </c>
      <c r="C5" s="25" t="s">
        <v>250</v>
      </c>
      <c r="D5" s="15"/>
      <c r="E5" s="25" t="s">
        <v>250</v>
      </c>
      <c r="F5" s="15"/>
      <c r="G5" s="15"/>
      <c r="H5" s="15"/>
      <c r="I5" s="16" t="n">
        <f aca="false">IF(A5="","",COUNTIF(C5:H5,"X"))</f>
        <v>2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6" t="str">
        <f aca="false">IF(A6="","",COUNTIF(C6:H6,"X"))</f>
        <v/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6" t="str">
        <f aca="false">IF(A7="","",COUNTIF(C7:H7,"X"))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6" t="str">
        <f aca="false">IF(A8="","",COUNTIF(C8:H8,"X"))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6" t="str">
        <f aca="false">IF(A9="","",COUNTIF(C9:H9,"X"))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6" t="str">
        <f aca="false">IF(A10="","",COUNTIF(C10:H10,"X"))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6" t="str">
        <f aca="false">IF(A11="","",COUNTIF(C11:H11,"X"))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6" t="str">
        <f aca="false">IF(A12="","",COUNTIF(C12:H12,"X"))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6" t="str">
        <f aca="false">IF(A13="","",COUNTIF(C13:H13,"X"))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6" t="str">
        <f aca="false">IF(A14="","",COUNTIF(C14:H14,"X"))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6" t="str">
        <f aca="false">IF(A15="","",COUNTIF(C15:H15,"X"))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6" t="str">
        <f aca="false">IF(A16="","",COUNTIF(C16:H16,"X"))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6" t="str">
        <f aca="false">IF(A17="","",COUNTIF(C17:H17,"X"))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6" t="str">
        <f aca="false">IF(A18="","",COUNTIF(C18:H18,"X"))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6" t="str">
        <f aca="false">IF(A19="","",COUNTIF(C19:H19,"X"))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6" t="str">
        <f aca="false">IF(A20="","",COUNTIF(C20:H20,"X"))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6" t="str">
        <f aca="false">IF(A21="","",COUNTIF(C21:H21,"X"))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6" t="str">
        <f aca="false">IF(A22="","",COUNTIF(C22:H22,"X"))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6" t="str">
        <f aca="false">IF(A23="","",COUNTIF(C23:H23,"X"))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6" t="str">
        <f aca="false">IF(A24="","",COUNTIF(C24:H24,"X"))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6" t="str">
        <f aca="false">IF(A25="","",COUNTIF(C25:H25,"X"))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6" t="str">
        <f aca="false">IF(A26="","",COUNTIF(C26:H26,"X"))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6" t="str">
        <f aca="false">IF(A27="","",COUNTIF(C27:H27,"X"))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6" t="str">
        <f aca="false">IF(A28="","",COUNTIF(C28:H28,"X"))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6" t="str">
        <f aca="false">IF(A29="","",COUNTIF(C29:H29,"X"))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6" t="str">
        <f aca="false">IF(A30="","",COUNTIF(C30:H30,"X"))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6" t="str">
        <f aca="false">IF(A31="","",COUNTIF(C31:H31,"X"))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6" t="str">
        <f aca="false">IF(A32="","",COUNTIF(C32:H32,"X"))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6" t="str">
        <f aca="false">IF(A33="","",COUNTIF(C33:H33,"X"))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6" t="str">
        <f aca="false">IF(A34="","",COUNTIF(C34:H34,"X"))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6" t="str">
        <f aca="false">IF(A35="","",COUNTIF(C35:H35,"X"))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6" t="str">
        <f aca="false">IF(A36="","",COUNTIF(C36:H36,"X"))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6" t="str">
        <f aca="false">IF(A37="","",COUNTIF(C37:H37,"X"))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6" t="str">
        <f aca="false">IF(A38="","",COUNTIF(C38:H38,"X"))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6" t="str">
        <f aca="false">IF(A39="","",COUNTIF(C39:H39,"X"))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6" t="str">
        <f aca="false">IF(A40="","",COUNTIF(C40:H40,"X"))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6" t="str">
        <f aca="false">IF(A41="","",COUNTIF(C41:H41,"X"))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6" t="str">
        <f aca="false">IF(A42="","",COUNTIF(C42:H42,"X"))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6" t="str">
        <f aca="false">IF(A43="","",COUNTIF(C43:H43,"X"))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6" t="str">
        <f aca="false">IF(A44="","",COUNTIF(C44:H44,"X"))</f>
        <v/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7" t="s">
        <v>251</v>
      </c>
      <c r="B46" s="2"/>
      <c r="C46" s="16" t="n">
        <f aca="false">COUNTIF(C5:C44,"X")</f>
        <v>1</v>
      </c>
      <c r="D46" s="16" t="n">
        <f aca="false">COUNTIF(D5:D44,"X")</f>
        <v>0</v>
      </c>
      <c r="E46" s="16" t="n">
        <f aca="false">COUNTIF(E5:E44,"X")</f>
        <v>1</v>
      </c>
      <c r="F46" s="16" t="n">
        <f aca="false">COUNTIF(F5:F44,"X")</f>
        <v>0</v>
      </c>
      <c r="G46" s="16" t="n">
        <f aca="false">COUNTIF(G5:G44,"X")</f>
        <v>0</v>
      </c>
      <c r="H46" s="16" t="n">
        <f aca="false">COUNTIF(H5:H44,"X")</f>
        <v>0</v>
      </c>
      <c r="I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5" min="4" style="0" width="44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252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9" t="s">
        <v>258</v>
      </c>
    </row>
    <row r="4" customFormat="false" ht="15" hidden="false" customHeight="false" outlineLevel="0" collapsed="false">
      <c r="A4" s="13" t="s">
        <v>96</v>
      </c>
      <c r="B4" s="13" t="s">
        <v>259</v>
      </c>
      <c r="C4" s="13" t="s">
        <v>260</v>
      </c>
      <c r="D4" s="13" t="s">
        <v>261</v>
      </c>
      <c r="E4" s="13" t="s">
        <v>262</v>
      </c>
      <c r="F4" s="13" t="s">
        <v>100</v>
      </c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3" t="s">
        <v>51</v>
      </c>
      <c r="B1" s="23" t="s">
        <v>263</v>
      </c>
      <c r="C1" s="23" t="s">
        <v>264</v>
      </c>
    </row>
    <row r="2" customFormat="false" ht="15" hidden="false" customHeight="false" outlineLevel="0" collapsed="false">
      <c r="A2" s="2" t="s">
        <v>136</v>
      </c>
      <c r="B2" s="2" t="s">
        <v>199</v>
      </c>
      <c r="C2" s="2" t="s">
        <v>265</v>
      </c>
    </row>
    <row r="3" customFormat="false" ht="15" hidden="false" customHeight="false" outlineLevel="0" collapsed="false">
      <c r="A3" s="2" t="s">
        <v>266</v>
      </c>
      <c r="B3" s="2" t="s">
        <v>200</v>
      </c>
      <c r="C3" s="2" t="s">
        <v>267</v>
      </c>
    </row>
    <row r="4" customFormat="false" ht="15" hidden="false" customHeight="false" outlineLevel="0" collapsed="false">
      <c r="A4" s="2" t="s">
        <v>268</v>
      </c>
      <c r="B4" s="2" t="s">
        <v>201</v>
      </c>
      <c r="C4" s="2" t="s">
        <v>269</v>
      </c>
    </row>
    <row r="5" customFormat="false" ht="15" hidden="false" customHeight="false" outlineLevel="0" collapsed="false">
      <c r="A5" s="2"/>
      <c r="B5" s="2" t="s">
        <v>202</v>
      </c>
      <c r="C5" s="2" t="s">
        <v>270</v>
      </c>
    </row>
    <row r="6" customFormat="false" ht="15" hidden="false" customHeight="false" outlineLevel="0" collapsed="false">
      <c r="A6" s="2"/>
      <c r="B6" s="2" t="s">
        <v>203</v>
      </c>
      <c r="C6" s="2" t="s">
        <v>271</v>
      </c>
    </row>
    <row r="7" customFormat="false" ht="15" hidden="false" customHeight="false" outlineLevel="0" collapsed="false">
      <c r="A7" s="2"/>
      <c r="B7" s="2" t="s">
        <v>204</v>
      </c>
      <c r="C7" s="2" t="s">
        <v>272</v>
      </c>
    </row>
    <row r="8" customFormat="false" ht="15" hidden="false" customHeight="false" outlineLevel="0" collapsed="false">
      <c r="A8" s="2"/>
      <c r="B8" s="2" t="s">
        <v>205</v>
      </c>
      <c r="C8" s="2" t="s">
        <v>273</v>
      </c>
    </row>
    <row r="9" customFormat="false" ht="15" hidden="false" customHeight="false" outlineLevel="0" collapsed="false">
      <c r="A9" s="2"/>
      <c r="B9" s="2" t="s">
        <v>206</v>
      </c>
      <c r="C9" s="2" t="s">
        <v>274</v>
      </c>
    </row>
    <row r="10" customFormat="false" ht="15" hidden="false" customHeight="false" outlineLevel="0" collapsed="false">
      <c r="A10" s="2"/>
      <c r="B10" s="2" t="s">
        <v>207</v>
      </c>
      <c r="C10" s="2" t="s">
        <v>275</v>
      </c>
    </row>
    <row r="11" customFormat="false" ht="15" hidden="false" customHeight="false" outlineLevel="0" collapsed="false">
      <c r="A11" s="2"/>
      <c r="B11" s="2" t="s">
        <v>208</v>
      </c>
      <c r="C11" s="2" t="s">
        <v>276</v>
      </c>
    </row>
    <row r="12" customFormat="false" ht="15" hidden="false" customHeight="false" outlineLevel="0" collapsed="false">
      <c r="A12" s="2"/>
      <c r="B12" s="2" t="s">
        <v>209</v>
      </c>
      <c r="C12" s="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2026-09-19T08:07:42Z</dcterms:created>
  <dc:creator>openpyxl</dc:creator>
  <dc:description/>
  <dc:language>en-US</dc:language>
  <cp:lastModifiedBy/>
  <dcterms:modified xsi:type="dcterms:W3CDTF">2026-09-19T08:07:44Z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